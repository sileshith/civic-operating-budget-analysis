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f01fd84e7c44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1d6588b66344ab"/>
    <x:sheet xmlns:r="http://schemas.openxmlformats.org/officeDocument/2006/relationships" name="Assumptions" sheetId="2" r:id="R0d9862f9afa94899"/>
    <x:sheet xmlns:r="http://schemas.openxmlformats.org/officeDocument/2006/relationships" name="Department plan" sheetId="3" r:id="R8090c827131e4cf5"/>
    <x:sheet xmlns:r="http://schemas.openxmlformats.org/officeDocument/2006/relationships" name="Monthly data" sheetId="4" r:id="Rc7a0030396e04324"/>
    <x:sheet xmlns:r="http://schemas.openxmlformats.org/officeDocument/2006/relationships" name="Review" sheetId="5" r:id="R33cc752ca1154c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mm-yy"/>
    <x:numFmt numFmtId="201" formatCode="#,##0.00;(#,##0.00);&quot;-&quot;"/>
    <x:numFmt numFmtId="202" formatCode="0.0%;(0.0%);&quot;-&quot;"/>
    <x:numFmt numFmtId="203" formatCode="$#,##0;($#,##0);&quot;-&quot;"/>
    <x:numFmt numFmtId="204" formatCode="0"/>
    <x:numFmt numFmtId="205" formatCode="0.00;(0.00);0.00"/>
  </x:numFmts>
  <x:fonts count="12">
    <x:font>
      <x:sz val="11"/>
      <x:name val="Carlito"/>
    </x:font>
    <x:font>
      <x:sz val="10"/>
      <x:color rgb="FF192D43"/>
      <x:name val="Arial"/>
    </x:font>
    <x:font>
      <x:sz val="10"/>
      <x:color rgb="FF174BC4"/>
      <x:name val="Arial"/>
    </x:font>
    <x:font>
      <x:b/>
      <x:sz val="10"/>
      <x:color rgb="FFFFFFFF"/>
      <x:name val="Arial"/>
    </x:font>
    <x:font>
      <x:b/>
      <x:sz val="16"/>
      <x:color rgb="FF192D43"/>
      <x:name val="Arial"/>
    </x:font>
    <x:font>
      <x:b/>
      <x:sz val="10"/>
      <x:color rgb="FF174BC4"/>
      <x:name val="Arial"/>
    </x:font>
    <x:font>
      <x:b/>
      <x:sz val="10"/>
      <x:color rgb="FF192D43"/>
      <x:name val="Arial"/>
    </x:font>
    <x:font>
      <x:b/>
      <x:sz val="10"/>
      <x:color rgb="FF217148"/>
      <x:name val="Arial"/>
    </x:font>
    <x:font>
      <x:sz val="10"/>
      <x:color rgb="FF217148"/>
      <x:name val="Arial"/>
    </x:font>
    <x:font>
      <x:sz val="10"/>
      <x:color rgb="FF000000"/>
      <x:name val="Arial"/>
    </x:font>
    <x:font>
      <x:b/>
      <x:sz val="11"/>
      <x:color rgb="FF203C59"/>
      <x:name val="Arial"/>
    </x:font>
    <x:font>
      <x:i/>
      <x:sz val="10"/>
      <x:color rgb="FF192D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C59"/>
      </x:patternFill>
    </x:fill>
    <x:fill>
      <x:patternFill patternType="solid">
        <x:fgColor rgb="FFFFF2CC"/>
      </x:patternFill>
    </x:fill>
    <x:fill>
      <x:patternFill patternType="solid">
        <x:fgColor rgb="FFEAF0F5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A8B6C4"/>
      </x:bottom>
      <x:diagonal/>
    </x:border>
    <x:border>
      <x:left style="dashed">
        <x:color rgb="FF93A5B4"/>
      </x:left>
      <x:right style="dashed">
        <x:color rgb="FF93A5B4"/>
      </x:right>
      <x:top style="dashed">
        <x:color rgb="FF93A5B4"/>
      </x:top>
      <x:bottom style="dashed">
        <x:color rgb="FF93A5B4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202" fontId="6" fillId="4" borderId="0" xfId="0" applyNumberFormat="1" applyFont="1" applyFill="1" applyBorder="1"/>
    <x:xf numFmtId="202" fontId="1" fillId="0" borderId="0" xfId="0" applyNumberFormat="1" applyFont="1" applyFill="1" applyBorder="1"/>
    <x:xf numFmtId="202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203" fontId="8" fillId="0" borderId="0" xfId="0" applyNumberFormat="1" applyFont="1" applyFill="1" applyBorder="1"/>
    <x:xf numFmtId="203" fontId="9" fillId="0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3" fontId="6" fillId="4" borderId="0" xfId="0" applyNumberFormat="1" applyFont="1" applyFill="1" applyBorder="1"/>
    <x:xf numFmtId="0" fontId="10" fillId="0" borderId="0" xfId="0" applyNumberFormat="1" applyFont="1" applyFill="1" applyBorder="1"/>
    <x:xf numFmtId="0" fontId="6" fillId="0" borderId="0" xfId="0" applyNumberFormat="1" applyFont="1" applyFill="1" applyBorder="1"/>
    <x:xf numFmtId="203" fontId="6" fillId="0" borderId="0" xfId="0" applyNumberFormat="1" applyFont="1" applyFill="1" applyBorder="1"/>
    <x:xf numFmtId="202" fontId="1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</x:cellXfs>
  <x:cellStyles count="1">
    <x:cellStyle name="Normal" xfId="0"/>
  </x:cellStyles>
  <x:dxfs count="4">
    <x:dxf>
      <x:font>
        <x:color rgb="FF9C2222"/>
      </x:font>
      <x:fill>
        <x:patternFill patternType="solid">
          <x:bgColor rgb="FFFCE5E5"/>
        </x:patternFill>
      </x:fill>
    </x:dxf>
    <x:dxf>
      <x:font>
        <x:color rgb="FF9C2222"/>
      </x:font>
      <x:fill>
        <x:patternFill patternType="solid">
          <x:bgColor rgb="FFFCE5E5"/>
        </x:patternFill>
      </x:fill>
    </x:dxf>
    <x:dxf>
      <x:font>
        <x:color rgb="FF9C2222"/>
      </x:font>
      <x:fill>
        <x:patternFill patternType="solid">
          <x:bgColor rgb="FFFCE5E5"/>
        </x:patternFill>
      </x:fill>
    </x:dxf>
    <x:dxf>
      <x:font>
        <x:b/>
        <x:color rgb="FF9C2222"/>
      </x:font>
      <x:fill>
        <x:patternFill patternType="solid">
          <x:bgColor rgb="FFFC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e400bfc8304a3f" /><Relationship Type="http://schemas.openxmlformats.org/officeDocument/2006/relationships/theme" Target="/xl/theme/theme1.xml" Id="R99707fc7c6e6425a" /><Relationship Type="http://schemas.openxmlformats.org/officeDocument/2006/relationships/sharedStrings" Target="/xl/sharedStrings.xml" Id="R94b08a3ee1394b66" /><Relationship Type="http://schemas.openxmlformats.org/officeDocument/2006/relationships/worksheet" Target="/xl/worksheets/sheet1.xml" Id="R6c1d6588b66344ab" /><Relationship Type="http://schemas.openxmlformats.org/officeDocument/2006/relationships/worksheet" Target="/xl/worksheets/sheet2.xml" Id="R0d9862f9afa94899" /><Relationship Type="http://schemas.openxmlformats.org/officeDocument/2006/relationships/worksheet" Target="/xl/worksheets/sheet3.xml" Id="R8090c827131e4cf5" /><Relationship Type="http://schemas.openxmlformats.org/officeDocument/2006/relationships/worksheet" Target="/xl/worksheets/sheet4.xml" Id="Rc7a0030396e04324" /><Relationship Type="http://schemas.openxmlformats.org/officeDocument/2006/relationships/worksheet" Target="/xl/worksheets/sheet5.xml" Id="R33cc752ca1154c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797fb7a14c54cb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Five-year funding and operating expense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Funding</c:v>
          </c:tx>
          <c:spPr>
            <a:ln xmlns:a="http://schemas.openxmlformats.org/drawingml/2006/main" w="19050">
              <a:solidFill>
                <a:srgbClr val="27747E"/>
              </a:solidFill>
              <a:prstDash val="solid"/>
            </a:ln>
          </c:spPr>
          <c:marker>
            <c:symbol val="none"/>
          </c:marker>
          <c:cat>
            <c:strRef>
              <c:f>'Summary'!$J$27:$J$31</c:f>
              <c:strCache>
                <c:ptCount val="0"/>
              </c:strCache>
            </c:strRef>
          </c:cat>
          <c:val>
            <c:numRef>
              <c:f>'Summary'!$K$27:$K$31</c:f>
              <c:numCache>
                <c:formatCode>$#,##0;($#,##0);"-"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Expense</c:v>
          </c:tx>
          <c:spPr>
            <a:ln xmlns:a="http://schemas.openxmlformats.org/drawingml/2006/main" w="19050">
              <a:solidFill>
                <a:srgbClr val="C56538"/>
              </a:solidFill>
              <a:prstDash val="solid"/>
            </a:ln>
          </c:spPr>
          <c:marker>
            <c:symbol val="none"/>
          </c:marker>
          <c:cat>
            <c:strRef>
              <c:f>'Summary'!$J$27:$J$31</c:f>
              <c:strCache>
                <c:ptCount val="0"/>
              </c:strCache>
            </c:strRef>
          </c:cat>
          <c:val>
            <c:numRef>
              <c:f>'Summary'!$L$27:$L$31</c:f>
              <c:numCache>
                <c:formatCode>$#,##0;($#,##0);"-"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18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97fb7a14c54cb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Financials" displayName="MonthlyFinancials" ref="A1:G361" headerRowCount="1" totalsRowCount="0" totalsRowShown="0">
  <x:tableColumns count="7">
    <x:tableColumn id="1" name="Month start"/>
    <x:tableColumn id="2" name="FY ending"/>
    <x:tableColumn id="3" name="Department"/>
    <x:tableColumn id="4" name="Account"/>
    <x:tableColumn id="5" name="Type"/>
    <x:tableColumn id="6" name="Budget (USD)"/>
    <x:tableColumn id="7" name="Actual (US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76fc8ab41be4e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6dad6dceeae044bb" /></Relationships>
</file>

<file path=xl/worksheets/sheet1.xml><?xml version="1.0" encoding="utf-8"?>
<x:worksheet xmlns:x="http://schemas.openxmlformats.org/spreadsheetml/2006/main">
  <x:sheetPr>
    <x:tabColor rgb="FF203C59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3" customHeight="1">
      <x:c r="A2" s="1"/>
      <x:c r="B2" s="1"/>
      <x:c r="C2" s="12" t="str">
        <x:v>Operating budget | Excel + SQL</x:v>
      </x:c>
      <x:c r="D2" s="13"/>
      <x:c r="E2" s="13"/>
      <x:c r="F2" s="13"/>
      <x:c r="G2" s="13"/>
      <x:c r="H2" s="13"/>
      <x:c r="I2" s="13"/>
      <x:c r="J2" s="13"/>
      <x:c r="K2" s="13"/>
      <x:c r="L2" s="1"/>
      <x:c r="M2" s="1"/>
      <x:c r="N2" s="1"/>
      <x:c r="O2" s="1"/>
      <x:c r="P2" s="1"/>
      <x:c r="Q2" s="1"/>
    </x:row>
    <x:row r="3" ht="23" customHeight="1">
      <x:c r="A3" s="1"/>
      <x:c r="B3" s="1"/>
      <x:c r="C3" s="1" t="str">
        <x:v>Synthetic portfolio simulation — three fictional departments.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3" customHeight="1">
      <x:c r="A4" s="1"/>
      <x:c r="B4" s="1"/>
      <x:c r="C4" s="1" t="str">
        <x:v>Case Selected:</x:v>
      </x:c>
      <x:c r="D4" s="24" t="str">
        <x:f>'Assumptions'!$D$4</x:f>
        <x:v>Base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3" customHeight="1">
      <x:c r="A6" s="1"/>
      <x:c r="B6" s="1"/>
      <x:c r="C6" s="32" t="str">
        <x:v>FY 2025-26 | Full-year budget versus actual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3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30" customHeight="1">
      <x:c r="A8" s="1"/>
      <x:c r="B8" s="1"/>
      <x:c r="C8" s="10" t="str">
        <x:v>Measure</x:v>
      </x:c>
      <x:c r="D8" s="10" t="str">
        <x:v>Budget (USD)</x:v>
      </x:c>
      <x:c r="E8" s="10" t="str">
        <x:v>Actual (USD)</x:v>
      </x:c>
      <x:c r="F8" s="10" t="str">
        <x:v>Favorable variance</x:v>
      </x:c>
      <x:c r="G8" s="10" t="str">
        <x:v>Variance %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3" customHeight="1">
      <x:c r="A9" s="1"/>
      <x:c r="B9" s="1"/>
      <x:c r="C9" s="1" t="str">
        <x:v>Assigned support + fees</x:v>
      </x:c>
      <x:c r="D9" s="29" t="n">
        <x:f>SUMIFS('Monthly data'!$F$2:$F$361,'Monthly data'!$B$2:$B$361,2026,'Monthly data'!$E$2:$E$361,"Funding")</x:f>
        <x:v>7550000.000000001</x:v>
      </x:c>
      <x:c r="E9" s="29" t="n">
        <x:f>SUMIFS('Monthly data'!$G$2:$G$361,'Monthly data'!$B$2:$B$361,2026,'Monthly data'!$E$2:$E$361,"Funding")</x:f>
        <x:v>7473000.000000001</x:v>
      </x:c>
      <x:c r="F9" s="29" t="n">
        <x:f>E9-D9</x:f>
        <x:v>-77000</x:v>
      </x:c>
      <x:c r="G9" s="35" t="n">
        <x:f>IF(D9=0,NA(),F9/D9)</x:f>
        <x:v>-0.010198675496688741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3" customHeight="1">
      <x:c r="A10" s="1"/>
      <x:c r="B10" s="1"/>
      <x:c r="C10" s="1" t="str">
        <x:v>Operating expense</x:v>
      </x:c>
      <x:c r="D10" s="29" t="n">
        <x:f>SUMIFS('Monthly data'!$F$2:$F$361,'Monthly data'!$B$2:$B$361,2026,'Monthly data'!$E$2:$E$361,"Expense")</x:f>
        <x:v>7220000.000000001</x:v>
      </x:c>
      <x:c r="E10" s="29" t="n">
        <x:f>SUMIFS('Monthly data'!$G$2:$G$361,'Monthly data'!$B$2:$B$361,2026,'Monthly data'!$E$2:$E$361,"Expense")</x:f>
        <x:v>7545049.999999999</x:v>
      </x:c>
      <x:c r="F10" s="29" t="n">
        <x:f>D10-E10</x:f>
        <x:v>-325049.99999999814</x:v>
      </x:c>
      <x:c r="G10" s="35" t="n">
        <x:f>IF(D10=0,NA(),F10/D10)</x:f>
        <x:v>-0.045020775623268436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3" customHeight="1">
      <x:c r="A11" s="1"/>
      <x:c r="B11" s="1"/>
      <x:c r="C11" s="1" t="str">
        <x:v>Funding less expense</x:v>
      </x:c>
      <x:c r="D11" s="29" t="n">
        <x:f>D9-D10</x:f>
        <x:v>330000</x:v>
      </x:c>
      <x:c r="E11" s="29" t="n">
        <x:f>E9-E10</x:f>
        <x:v>-72049.99999999814</x:v>
      </x:c>
      <x:c r="F11" s="29" t="n">
        <x:f>E11-D11</x:f>
        <x:v>-402049.99999999814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3" customHeight="1">
      <x:c r="A14" s="1"/>
      <x:c r="B14" s="1"/>
      <x:c r="C14" s="32" t="str">
        <x:v>Expense review | Department comparison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30" customHeight="1">
      <x:c r="A15" s="1"/>
      <x:c r="B15" s="1"/>
      <x:c r="C15" s="10" t="str">
        <x:v>Department</x:v>
      </x:c>
      <x:c r="D15" s="10" t="str">
        <x:v>Budget (USD)</x:v>
      </x:c>
      <x:c r="E15" s="10" t="str">
        <x:v>Actual (USD)</x:v>
      </x:c>
      <x:c r="F15" s="10" t="str">
        <x:v>Favorable variance</x:v>
      </x:c>
      <x:c r="G15" s="10" t="str">
        <x:v>Variance %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3" customHeight="1">
      <x:c r="A16" s="1"/>
      <x:c r="B16" s="1"/>
      <x:c r="C16" s="1" t="str">
        <x:v>Finance</x:v>
      </x:c>
      <x:c r="D16" s="29" t="n">
        <x:f>SUMIFS('Monthly data'!$F$2:$F$361,'Monthly data'!$B$2:$B$361,2026,'Monthly data'!$C$2:$C$361,$C16,'Monthly data'!$E$2:$E$361,"Expense")</x:f>
        <x:v>970000</x:v>
      </x:c>
      <x:c r="E16" s="29" t="n">
        <x:f>SUMIFS('Monthly data'!$G$2:$G$361,'Monthly data'!$B$2:$B$361,2026,'Monthly data'!$C$2:$C$361,$C16,'Monthly data'!$E$2:$E$361,"Expense")</x:f>
        <x:v>1000300.0000000001</x:v>
      </x:c>
      <x:c r="F16" s="29" t="n">
        <x:f>D16-E16</x:f>
        <x:v>-30300.000000000116</x:v>
      </x:c>
      <x:c r="G16" s="35" t="n">
        <x:f>IF(D16=0,NA(),F16/D16)</x:f>
        <x:v>-0.031237113402061974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3" customHeight="1">
      <x:c r="A17" s="1"/>
      <x:c r="B17" s="1"/>
      <x:c r="C17" s="1" t="str">
        <x:v>Public Works</x:v>
      </x:c>
      <x:c r="D17" s="29" t="n">
        <x:f>SUMIFS('Monthly data'!$F$2:$F$361,'Monthly data'!$B$2:$B$361,2026,'Monthly data'!$C$2:$C$361,$C17,'Monthly data'!$E$2:$E$361,"Expense")</x:f>
        <x:v>3650000.0000000005</x:v>
      </x:c>
      <x:c r="E17" s="29" t="n">
        <x:f>SUMIFS('Monthly data'!$G$2:$G$361,'Monthly data'!$B$2:$B$361,2026,'Monthly data'!$C$2:$C$361,$C17,'Monthly data'!$E$2:$E$361,"Expense")</x:f>
        <x:v>3824250</x:v>
      </x:c>
      <x:c r="F17" s="29" t="n">
        <x:f>D17-E17</x:f>
        <x:v>-174249.99999999953</x:v>
      </x:c>
      <x:c r="G17" s="35" t="n">
        <x:f>IF(D17=0,NA(),F17/D17)</x:f>
        <x:v>-0.04773972602739713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3" customHeight="1">
      <x:c r="A18" s="1"/>
      <x:c r="B18" s="1"/>
      <x:c r="C18" s="1" t="str">
        <x:v>Parks and Recreation</x:v>
      </x:c>
      <x:c r="D18" s="29" t="n">
        <x:f>SUMIFS('Monthly data'!$F$2:$F$361,'Monthly data'!$B$2:$B$361,2026,'Monthly data'!$C$2:$C$361,$C18,'Monthly data'!$E$2:$E$361,"Expense")</x:f>
        <x:v>2600000.000000001</x:v>
      </x:c>
      <x:c r="E18" s="29" t="n">
        <x:f>SUMIFS('Monthly data'!$G$2:$G$361,'Monthly data'!$B$2:$B$361,2026,'Monthly data'!$C$2:$C$361,$C18,'Monthly data'!$E$2:$E$361,"Expense")</x:f>
        <x:v>2720499.9999999995</x:v>
      </x:c>
      <x:c r="F18" s="29" t="n">
        <x:f>D18-E18</x:f>
        <x:v>-120499.9999999986</x:v>
      </x:c>
      <x:c r="G18" s="35" t="n">
        <x:f>IF(D18=0,NA(),F18/D18)</x:f>
        <x:v>-0.046346153846153294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3" customHeight="1">
      <x:c r="A20" s="1"/>
      <x:c r="B20" s="1"/>
      <x:c r="C20" s="1" t="str">
        <x:v>Positive variance is favorable; negative expense variance is overspend.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3" customHeight="1">
      <x:c r="A22" s="1"/>
      <x:c r="B22" s="1"/>
      <x:c r="C22" s="32" t="str">
        <x:v>Five-year operating outlook | USD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30" customHeight="1">
      <x:c r="A23" s="1"/>
      <x:c r="B23" s="1"/>
      <x:c r="C23" s="10" t="str">
        <x:v>Measure</x:v>
      </x:c>
      <x:c r="D23" s="10" t="str">
        <x:v>FY:27</x:v>
      </x:c>
      <x:c r="E23" s="10" t="str">
        <x:v>FY:28</x:v>
      </x:c>
      <x:c r="F23" s="10" t="str">
        <x:v>FY:29</x:v>
      </x:c>
      <x:c r="G23" s="10" t="str">
        <x:v>FY:30</x:v>
      </x:c>
      <x:c r="H23" s="10" t="str">
        <x:v>FY:31</x:v>
      </x:c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3" customHeight="1">
      <x:c r="A24" s="1"/>
      <x:c r="B24" s="1"/>
      <x:c r="C24" s="1" t="str">
        <x:v>Assigned support + fees</x:v>
      </x:c>
      <x:c r="D24" s="29" t="n">
        <x:f>'Department plan'!G25</x:f>
        <x:v>7668232.5</x:v>
      </x:c>
      <x:c r="E24" s="29" t="n">
        <x:f>'Department plan'!H25</x:f>
        <x:v>7868598.04</x:v>
      </x:c>
      <x:c r="F24" s="29" t="n">
        <x:f>'Department plan'!I25</x:f>
        <x:v>8074232.5</x:v>
      </x:c>
      <x:c r="G24" s="29" t="n">
        <x:f>'Department plan'!J25</x:f>
        <x:v>8285275.41</x:v>
      </x:c>
      <x:c r="H24" s="29" t="n">
        <x:f>'Department plan'!K25</x:f>
        <x:v>8501870</x:v>
      </x:c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3" customHeight="1">
      <x:c r="A25" s="1"/>
      <x:c r="B25" s="1"/>
      <x:c r="C25" s="1" t="str">
        <x:v>Operating expense</x:v>
      </x:c>
      <x:c r="D25" s="29" t="n">
        <x:f>'Department plan'!G26</x:f>
        <x:v>7861979.5</x:v>
      </x:c>
      <x:c r="E25" s="29" t="n">
        <x:f>'Department plan'!H26</x:f>
        <x:v>8192400.400000001</x:v>
      </x:c>
      <x:c r="F25" s="29" t="n">
        <x:f>'Department plan'!I26</x:f>
        <x:v>8536892.989999998</x:v>
      </x:c>
      <x:c r="G25" s="29" t="n">
        <x:f>'Department plan'!J26</x:f>
        <x:v>8896062.750000002</x:v>
      </x:c>
      <x:c r="H25" s="29" t="n">
        <x:f>'Department plan'!K26</x:f>
        <x:v>9270541.399999999</x:v>
      </x:c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30" customHeight="1">
      <x:c r="A26" s="1"/>
      <x:c r="B26" s="1"/>
      <x:c r="C26" s="1" t="str">
        <x:v>Funding less expense</x:v>
      </x:c>
      <x:c r="D26" s="29" t="n">
        <x:f>'Department plan'!G27</x:f>
        <x:v>-193747</x:v>
      </x:c>
      <x:c r="E26" s="29" t="n">
        <x:f>'Department plan'!H27</x:f>
        <x:v>-323802.36000000127</x:v>
      </x:c>
      <x:c r="F26" s="29" t="n">
        <x:f>'Department plan'!I27</x:f>
        <x:v>-462660.48999999836</x:v>
      </x:c>
      <x:c r="G26" s="29" t="n">
        <x:f>'Department plan'!J27</x:f>
        <x:v>-610787.3400000017</x:v>
      </x:c>
      <x:c r="H26" s="29" t="n">
        <x:f>'Department plan'!K27</x:f>
        <x:v>-768671.3999999985</x:v>
      </x:c>
      <x:c r="I26" s="1"/>
      <x:c r="J26" s="10" t="str">
        <x:v>Fiscal year</x:v>
      </x:c>
      <x:c r="K26" s="10" t="str">
        <x:v>Funding</x:v>
      </x:c>
      <x:c r="L26" s="10" t="str">
        <x:v>Expense</x:v>
      </x:c>
      <x:c r="M26" s="1"/>
      <x:c r="N26" s="1"/>
      <x:c r="O26" s="1"/>
      <x:c r="P26" s="1"/>
      <x:c r="Q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 t="str">
        <x:f>D23</x:f>
        <x:v>FY:27</x:v>
      </x:c>
      <x:c r="K27" s="29" t="n">
        <x:f>D24</x:f>
        <x:v>7668232.5</x:v>
      </x:c>
      <x:c r="L27" s="29" t="n">
        <x:f>D25</x:f>
        <x:v>7861979.5</x:v>
      </x:c>
      <x:c r="M27" s="1"/>
      <x:c r="N27" s="1"/>
      <x:c r="O27" s="1"/>
      <x:c r="P27" s="1"/>
      <x:c r="Q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 t="str">
        <x:f>E23</x:f>
        <x:v>FY:28</x:v>
      </x:c>
      <x:c r="K28" s="29" t="n">
        <x:f>E24</x:f>
        <x:v>7868598.04</x:v>
      </x:c>
      <x:c r="L28" s="29" t="n">
        <x:f>E25</x:f>
        <x:v>8192400.400000001</x:v>
      </x:c>
      <x:c r="M28" s="1"/>
      <x:c r="N28" s="1"/>
      <x:c r="O28" s="1"/>
      <x:c r="P28" s="1"/>
      <x:c r="Q28" s="1"/>
    </x:row>
    <x:row r="29" ht="23" customHeight="1">
      <x:c r="A29" s="1"/>
      <x:c r="B29" s="1"/>
      <x:c r="C29" s="32" t="str">
        <x:v>FY 2027–29 | Modeled proposal</x:v>
      </x:c>
      <x:c r="D29" s="1"/>
      <x:c r="E29" s="1"/>
      <x:c r="F29" s="1"/>
      <x:c r="G29" s="1"/>
      <x:c r="H29" s="1"/>
      <x:c r="I29" s="1"/>
      <x:c r="J29" s="1" t="str">
        <x:f>F23</x:f>
        <x:v>FY:29</x:v>
      </x:c>
      <x:c r="K29" s="29" t="n">
        <x:f>F24</x:f>
        <x:v>8074232.5</x:v>
      </x:c>
      <x:c r="L29" s="29" t="n">
        <x:f>F25</x:f>
        <x:v>8536892.989999998</x:v>
      </x:c>
      <x:c r="M29" s="1"/>
      <x:c r="N29" s="1"/>
      <x:c r="O29" s="1"/>
      <x:c r="P29" s="1"/>
      <x:c r="Q29" s="1"/>
    </x:row>
    <x:row r="30" ht="23" customHeight="1">
      <x:c r="A30" s="1"/>
      <x:c r="B30" s="1"/>
      <x:c r="C30" s="1" t="str">
        <x:v>Assigned support + fees</x:v>
      </x:c>
      <x:c r="D30" s="29" t="n">
        <x:f>'Department plan'!L25</x:f>
        <x:v>15942830.54</x:v>
      </x:c>
      <x:c r="E30" s="1"/>
      <x:c r="F30" s="1"/>
      <x:c r="G30" s="1"/>
      <x:c r="H30" s="1"/>
      <x:c r="I30" s="1"/>
      <x:c r="J30" s="1" t="str">
        <x:f>G23</x:f>
        <x:v>FY:30</x:v>
      </x:c>
      <x:c r="K30" s="29" t="n">
        <x:f>G24</x:f>
        <x:v>8285275.41</x:v>
      </x:c>
      <x:c r="L30" s="29" t="n">
        <x:f>G25</x:f>
        <x:v>8896062.750000002</x:v>
      </x:c>
      <x:c r="M30" s="1"/>
      <x:c r="N30" s="1"/>
      <x:c r="O30" s="1"/>
      <x:c r="P30" s="1"/>
      <x:c r="Q30" s="1"/>
    </x:row>
    <x:row r="31" ht="23" customHeight="1">
      <x:c r="A31" s="1"/>
      <x:c r="B31" s="1"/>
      <x:c r="C31" s="1" t="str">
        <x:v>Operating expense</x:v>
      </x:c>
      <x:c r="D31" s="29" t="n">
        <x:f>'Department plan'!L26</x:f>
        <x:v>16729293.389999999</x:v>
      </x:c>
      <x:c r="E31" s="1"/>
      <x:c r="F31" s="1"/>
      <x:c r="G31" s="1"/>
      <x:c r="H31" s="1"/>
      <x:c r="I31" s="1"/>
      <x:c r="J31" s="1" t="str">
        <x:f>H23</x:f>
        <x:v>FY:31</x:v>
      </x:c>
      <x:c r="K31" s="29" t="n">
        <x:f>H24</x:f>
        <x:v>8501870</x:v>
      </x:c>
      <x:c r="L31" s="29" t="n">
        <x:f>H25</x:f>
        <x:v>9270541.399999999</x:v>
      </x:c>
      <x:c r="M31" s="1"/>
      <x:c r="N31" s="1"/>
      <x:c r="O31" s="1"/>
      <x:c r="P31" s="1"/>
      <x:c r="Q31" s="1"/>
    </x:row>
    <x:row r="32" ht="23" customHeight="1">
      <x:c r="A32" s="1"/>
      <x:c r="B32" s="1"/>
      <x:c r="C32" s="33" t="str">
        <x:v>Funding less expense</x:v>
      </x:c>
      <x:c r="D32" s="34" t="n">
        <x:f>'Department plan'!L27</x:f>
        <x:v>-786462.8499999996</x:v>
      </x:c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3" customHeight="1">
      <x:c r="A35" s="1"/>
      <x:c r="B35" s="1"/>
      <x:c r="C35" s="1" t="str">
        <x:v>Assigned support is funding for this scope, not consolidated city revenue.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3" customHeight="1">
      <x:c r="A36" s="1"/>
      <x:c r="B36" s="1"/>
      <x:c r="C36" s="1" t="str">
        <x:v>Forecasts are illustrative growth-based plans, not approved appropriations.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3" customHeight="1">
      <x:c r="A37" s="1"/>
      <x:c r="B37" s="1"/>
      <x:c r="C37" s="1" t="str">
        <x:v>FY 2027–29 comprises FY 2027-28 and FY 2028-29.</x:v>
      </x:c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</x:sheetData>
  <x:conditionalFormatting sqref="F9:F18">
    <x:cfRule type="cellIs" dxfId="1" priority="1" operator="lessThan">
      <x:formula>0</x:formula>
    </x:cfRule>
  </x:conditionalFormatting>
  <x:conditionalFormatting sqref="D26:H26">
    <x:cfRule type="cellIs" dxfId="2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276fc8ab41be4ec3"/>
</x:worksheet>
</file>

<file path=xl/worksheets/sheet2.xml><?xml version="1.0" encoding="utf-8"?>
<x:worksheet xmlns:x="http://schemas.openxmlformats.org/spreadsheetml/2006/main">
  <x:sheetPr>
    <x:tabColor rgb="FF55718C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1" hidden="0" customWidth="1"/>
    <x:col min="4" max="4" width="2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3" customHeight="1">
      <x:c r="A2" s="1"/>
      <x:c r="B2" s="1"/>
      <x:c r="C2" s="12" t="str">
        <x:v>Planning assumptions</x:v>
      </x:c>
      <x:c r="D2" s="13"/>
      <x:c r="E2" s="13"/>
      <x:c r="F2" s="13"/>
      <x:c r="G2" s="13"/>
      <x:c r="H2" s="13"/>
      <x:c r="I2" s="13"/>
      <x:c r="J2" s="13"/>
      <x:c r="K2" s="13"/>
      <x:c r="L2" s="1"/>
      <x:c r="M2" s="1"/>
      <x:c r="N2" s="1"/>
      <x:c r="O2" s="1"/>
      <x:c r="P2" s="1"/>
      <x:c r="Q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3" customHeight="1">
      <x:c r="A4" s="1"/>
      <x:c r="B4" s="1"/>
      <x:c r="C4" s="1" t="str">
        <x:v>Case Selected:</x:v>
      </x:c>
      <x:c r="D4" s="16" t="str">
        <x:v>Base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6" customHeight="1">
      <x:c r="A5" s="1"/>
      <x:c r="B5" s="1"/>
      <x:c r="C5" s="1" t="str">
        <x:v>Illustrative annual growth rates; all inputs are portfolio assumptions.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30" customHeight="1">
      <x:c r="A7" s="1"/>
      <x:c r="B7" s="1"/>
      <x:c r="C7" s="10" t="str">
        <x:v>Driver</x:v>
      </x:c>
      <x:c r="D7" s="10" t="str">
        <x:v>Row type</x:v>
      </x:c>
      <x:c r="E7" s="10" t="str">
        <x:v>FY:27</x:v>
      </x:c>
      <x:c r="F7" s="10" t="str">
        <x:v>FY:28</x:v>
      </x:c>
      <x:c r="G7" s="10" t="str">
        <x:v>FY:29</x:v>
      </x:c>
      <x:c r="H7" s="10" t="str">
        <x:v>FY:30</x:v>
      </x:c>
      <x:c r="I7" s="10" t="str">
        <x:v>FY:31</x:v>
      </x:c>
      <x:c r="J7" s="1"/>
      <x:c r="K7" s="1"/>
      <x:c r="L7" s="1"/>
      <x:c r="M7" s="1"/>
      <x:c r="N7" s="1"/>
      <x:c r="O7" s="1"/>
      <x:c r="P7" s="1"/>
      <x:c r="Q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3" customHeight="1">
      <x:c r="A9" s="1"/>
      <x:c r="B9" s="1"/>
      <x:c r="C9" s="18" t="str">
        <x:v>Assigned operating support growth</x:v>
      </x:c>
      <x:c r="D9" s="18" t="str">
        <x:v>Active selection</x:v>
      </x:c>
      <x:c r="E9" s="19" t="n">
        <x:f>IF($D$4="Base",IF(COUNT(E10)=1,E10,NA()),IF($D$4="Constrained",IF(COUNT(E11)=1,E11,NA()),NA()))</x:f>
        <x:v>0.025</x:v>
      </x:c>
      <x:c r="F9" s="19" t="n">
        <x:f>IF($D$4="Base",IF(COUNT(F10)=1,F10,NA()),IF($D$4="Constrained",IF(COUNT(F11)=1,F11,NA()),NA()))</x:f>
        <x:v>0.025</x:v>
      </x:c>
      <x:c r="G9" s="19" t="n">
        <x:f>IF($D$4="Base",IF(COUNT(G10)=1,G10,NA()),IF($D$4="Constrained",IF(COUNT(G11)=1,G11,NA()),NA()))</x:f>
        <x:v>0.025</x:v>
      </x:c>
      <x:c r="H9" s="19" t="n">
        <x:f>IF($D$4="Base",IF(COUNT(H10)=1,H10,NA()),IF($D$4="Constrained",IF(COUNT(H11)=1,H11,NA()),NA()))</x:f>
        <x:v>0.025</x:v>
      </x:c>
      <x:c r="I9" s="19" t="n">
        <x:f>IF($D$4="Base",IF(COUNT(I10)=1,I10,NA()),IF($D$4="Constrained",IF(COUNT(I11)=1,I11,NA()),NA()))</x:f>
        <x:v>0.025</x:v>
      </x:c>
      <x:c r="J9" s="1"/>
      <x:c r="K9" s="1"/>
      <x:c r="L9" s="1"/>
      <x:c r="M9" s="1"/>
      <x:c r="N9" s="1"/>
      <x:c r="O9" s="1"/>
      <x:c r="P9" s="1"/>
      <x:c r="Q9" s="1"/>
    </x:row>
    <x:row r="10" ht="23" customHeight="1">
      <x:c r="A10" s="1"/>
      <x:c r="B10" s="1"/>
      <x:c r="C10" s="1"/>
      <x:c r="D10" s="1" t="str">
        <x:v>Base</x:v>
      </x:c>
      <x:c r="E10" s="21" t="n">
        <x:v>0.025</x:v>
      </x:c>
      <x:c r="F10" s="21" t="n">
        <x:v>0.025</x:v>
      </x:c>
      <x:c r="G10" s="21" t="n">
        <x:v>0.025</x:v>
      </x:c>
      <x:c r="H10" s="21" t="n">
        <x:v>0.025</x:v>
      </x:c>
      <x:c r="I10" s="21" t="n">
        <x:v>0.025</x:v>
      </x:c>
      <x:c r="J10" s="1"/>
      <x:c r="K10" s="1"/>
      <x:c r="L10" s="1"/>
      <x:c r="M10" s="1"/>
      <x:c r="N10" s="1"/>
      <x:c r="O10" s="1"/>
      <x:c r="P10" s="1"/>
      <x:c r="Q10" s="1"/>
    </x:row>
    <x:row r="11" ht="23" customHeight="1">
      <x:c r="A11" s="1"/>
      <x:c r="B11" s="1"/>
      <x:c r="C11" s="1"/>
      <x:c r="D11" s="1" t="str">
        <x:v>Constrained</x:v>
      </x:c>
      <x:c r="E11" s="21" t="n">
        <x:v>0.005</x:v>
      </x:c>
      <x:c r="F11" s="21" t="n">
        <x:v>0.005</x:v>
      </x:c>
      <x:c r="G11" s="21" t="n">
        <x:v>0.005</x:v>
      </x:c>
      <x:c r="H11" s="21" t="n">
        <x:v>0.005</x:v>
      </x:c>
      <x:c r="I11" s="21" t="n">
        <x:v>0.005</x:v>
      </x:c>
      <x:c r="J11" s="1"/>
      <x:c r="K11" s="1"/>
      <x:c r="L11" s="1"/>
      <x:c r="M11" s="1"/>
      <x:c r="N11" s="1"/>
      <x:c r="O11" s="1"/>
      <x:c r="P11" s="1"/>
      <x:c r="Q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3" customHeight="1">
      <x:c r="A13" s="1"/>
      <x:c r="B13" s="1"/>
      <x:c r="C13" s="18" t="str">
        <x:v>Service fees growth</x:v>
      </x:c>
      <x:c r="D13" s="18" t="str">
        <x:v>Active selection</x:v>
      </x:c>
      <x:c r="E13" s="19" t="n">
        <x:f>IF($D$4="Base",IF(COUNT(E14)=1,E14,NA()),IF($D$4="Constrained",IF(COUNT(E15)=1,E15,NA()),NA()))</x:f>
        <x:v>0.03</x:v>
      </x:c>
      <x:c r="F13" s="19" t="n">
        <x:f>IF($D$4="Base",IF(COUNT(F14)=1,F14,NA()),IF($D$4="Constrained",IF(COUNT(F15)=1,F15,NA()),NA()))</x:f>
        <x:v>0.03</x:v>
      </x:c>
      <x:c r="G13" s="19" t="n">
        <x:f>IF($D$4="Base",IF(COUNT(G14)=1,G14,NA()),IF($D$4="Constrained",IF(COUNT(G15)=1,G15,NA()),NA()))</x:f>
        <x:v>0.03</x:v>
      </x:c>
      <x:c r="H13" s="19" t="n">
        <x:f>IF($D$4="Base",IF(COUNT(H14)=1,H14,NA()),IF($D$4="Constrained",IF(COUNT(H15)=1,H15,NA()),NA()))</x:f>
        <x:v>0.03</x:v>
      </x:c>
      <x:c r="I13" s="19" t="n">
        <x:f>IF($D$4="Base",IF(COUNT(I14)=1,I14,NA()),IF($D$4="Constrained",IF(COUNT(I15)=1,I15,NA()),NA()))</x:f>
        <x:v>0.03</x:v>
      </x:c>
      <x:c r="J13" s="1"/>
      <x:c r="K13" s="1"/>
      <x:c r="L13" s="1"/>
      <x:c r="M13" s="1"/>
      <x:c r="N13" s="1"/>
      <x:c r="O13" s="1"/>
      <x:c r="P13" s="1"/>
      <x:c r="Q13" s="1"/>
    </x:row>
    <x:row r="14" ht="23" customHeight="1">
      <x:c r="A14" s="1"/>
      <x:c r="B14" s="1"/>
      <x:c r="C14" s="1"/>
      <x:c r="D14" s="1" t="str">
        <x:v>Base</x:v>
      </x:c>
      <x:c r="E14" s="21" t="n">
        <x:v>0.03</x:v>
      </x:c>
      <x:c r="F14" s="21" t="n">
        <x:v>0.03</x:v>
      </x:c>
      <x:c r="G14" s="21" t="n">
        <x:v>0.03</x:v>
      </x:c>
      <x:c r="H14" s="21" t="n">
        <x:v>0.03</x:v>
      </x:c>
      <x:c r="I14" s="21" t="n">
        <x:v>0.03</x:v>
      </x:c>
      <x:c r="J14" s="1"/>
      <x:c r="K14" s="1"/>
      <x:c r="L14" s="1"/>
      <x:c r="M14" s="1"/>
      <x:c r="N14" s="1"/>
      <x:c r="O14" s="1"/>
      <x:c r="P14" s="1"/>
      <x:c r="Q14" s="1"/>
    </x:row>
    <x:row r="15" ht="23" customHeight="1">
      <x:c r="A15" s="1"/>
      <x:c r="B15" s="1"/>
      <x:c r="C15" s="1"/>
      <x:c r="D15" s="1" t="str">
        <x:v>Constrained</x:v>
      </x:c>
      <x:c r="E15" s="21" t="n">
        <x:v>0.01</x:v>
      </x:c>
      <x:c r="F15" s="21" t="n">
        <x:v>0.01</x:v>
      </x:c>
      <x:c r="G15" s="21" t="n">
        <x:v>0.01</x:v>
      </x:c>
      <x:c r="H15" s="21" t="n">
        <x:v>0.01</x:v>
      </x:c>
      <x:c r="I15" s="21" t="n">
        <x:v>0.01</x:v>
      </x:c>
      <x:c r="J15" s="1"/>
      <x:c r="K15" s="1"/>
      <x:c r="L15" s="1"/>
      <x:c r="M15" s="1"/>
      <x:c r="N15" s="1"/>
      <x:c r="O15" s="1"/>
      <x:c r="P15" s="1"/>
      <x:c r="Q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3" customHeight="1">
      <x:c r="A17" s="1"/>
      <x:c r="B17" s="1"/>
      <x:c r="C17" s="18" t="str">
        <x:v>Personnel growth</x:v>
      </x:c>
      <x:c r="D17" s="18" t="str">
        <x:v>Active selection</x:v>
      </x:c>
      <x:c r="E17" s="19" t="n">
        <x:f>IF($D$4="Base",IF(COUNT(E18)=1,E18,NA()),IF($D$4="Constrained",IF(COUNT(E19)=1,E19,NA()),NA()))</x:f>
        <x:v>0.045</x:v>
      </x:c>
      <x:c r="F17" s="19" t="n">
        <x:f>IF($D$4="Base",IF(COUNT(F18)=1,F18,NA()),IF($D$4="Constrained",IF(COUNT(F19)=1,F19,NA()),NA()))</x:f>
        <x:v>0.045</x:v>
      </x:c>
      <x:c r="G17" s="19" t="n">
        <x:f>IF($D$4="Base",IF(COUNT(G18)=1,G18,NA()),IF($D$4="Constrained",IF(COUNT(G19)=1,G19,NA()),NA()))</x:f>
        <x:v>0.045</x:v>
      </x:c>
      <x:c r="H17" s="19" t="n">
        <x:f>IF($D$4="Base",IF(COUNT(H18)=1,H18,NA()),IF($D$4="Constrained",IF(COUNT(H19)=1,H19,NA()),NA()))</x:f>
        <x:v>0.045</x:v>
      </x:c>
      <x:c r="I17" s="19" t="n">
        <x:f>IF($D$4="Base",IF(COUNT(I18)=1,I18,NA()),IF($D$4="Constrained",IF(COUNT(I19)=1,I19,NA()),NA()))</x:f>
        <x:v>0.045</x:v>
      </x:c>
      <x:c r="J17" s="1"/>
      <x:c r="K17" s="1"/>
      <x:c r="L17" s="1"/>
      <x:c r="M17" s="1"/>
      <x:c r="N17" s="1"/>
      <x:c r="O17" s="1"/>
      <x:c r="P17" s="1"/>
      <x:c r="Q17" s="1"/>
    </x:row>
    <x:row r="18" ht="23" customHeight="1">
      <x:c r="A18" s="1"/>
      <x:c r="B18" s="1"/>
      <x:c r="C18" s="1"/>
      <x:c r="D18" s="1" t="str">
        <x:v>Base</x:v>
      </x:c>
      <x:c r="E18" s="21" t="n">
        <x:v>0.045</x:v>
      </x:c>
      <x:c r="F18" s="21" t="n">
        <x:v>0.045</x:v>
      </x:c>
      <x:c r="G18" s="21" t="n">
        <x:v>0.045</x:v>
      </x:c>
      <x:c r="H18" s="21" t="n">
        <x:v>0.045</x:v>
      </x:c>
      <x:c r="I18" s="21" t="n">
        <x:v>0.045</x:v>
      </x:c>
      <x:c r="J18" s="1"/>
      <x:c r="K18" s="1"/>
      <x:c r="L18" s="1"/>
      <x:c r="M18" s="1"/>
      <x:c r="N18" s="1"/>
      <x:c r="O18" s="1"/>
      <x:c r="P18" s="1"/>
      <x:c r="Q18" s="1"/>
    </x:row>
    <x:row r="19" ht="23" customHeight="1">
      <x:c r="A19" s="1"/>
      <x:c r="B19" s="1"/>
      <x:c r="C19" s="1"/>
      <x:c r="D19" s="1" t="str">
        <x:v>Constrained</x:v>
      </x:c>
      <x:c r="E19" s="21" t="n">
        <x:v>0.055</x:v>
      </x:c>
      <x:c r="F19" s="21" t="n">
        <x:v>0.055</x:v>
      </x:c>
      <x:c r="G19" s="21" t="n">
        <x:v>0.055</x:v>
      </x:c>
      <x:c r="H19" s="21" t="n">
        <x:v>0.055</x:v>
      </x:c>
      <x:c r="I19" s="21" t="n">
        <x:v>0.055</x:v>
      </x:c>
      <x:c r="J19" s="1"/>
      <x:c r="K19" s="1"/>
      <x:c r="L19" s="1"/>
      <x:c r="M19" s="1"/>
      <x:c r="N19" s="1"/>
      <x:c r="O19" s="1"/>
      <x:c r="P19" s="1"/>
      <x:c r="Q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3" customHeight="1">
      <x:c r="A21" s="1"/>
      <x:c r="B21" s="1"/>
      <x:c r="C21" s="18" t="str">
        <x:v>Contract services growth</x:v>
      </x:c>
      <x:c r="D21" s="18" t="str">
        <x:v>Active selection</x:v>
      </x:c>
      <x:c r="E21" s="19" t="n">
        <x:f>IF($D$4="Base",IF(COUNT(E22)=1,E22,NA()),IF($D$4="Constrained",IF(COUNT(E23)=1,E23,NA()),NA()))</x:f>
        <x:v>0.04</x:v>
      </x:c>
      <x:c r="F21" s="19" t="n">
        <x:f>IF($D$4="Base",IF(COUNT(F22)=1,F22,NA()),IF($D$4="Constrained",IF(COUNT(F23)=1,F23,NA()),NA()))</x:f>
        <x:v>0.04</x:v>
      </x:c>
      <x:c r="G21" s="19" t="n">
        <x:f>IF($D$4="Base",IF(COUNT(G22)=1,G22,NA()),IF($D$4="Constrained",IF(COUNT(G23)=1,G23,NA()),NA()))</x:f>
        <x:v>0.04</x:v>
      </x:c>
      <x:c r="H21" s="19" t="n">
        <x:f>IF($D$4="Base",IF(COUNT(H22)=1,H22,NA()),IF($D$4="Constrained",IF(COUNT(H23)=1,H23,NA()),NA()))</x:f>
        <x:v>0.04</x:v>
      </x:c>
      <x:c r="I21" s="19" t="n">
        <x:f>IF($D$4="Base",IF(COUNT(I22)=1,I22,NA()),IF($D$4="Constrained",IF(COUNT(I23)=1,I23,NA()),NA()))</x:f>
        <x:v>0.04</x:v>
      </x:c>
      <x:c r="J21" s="1"/>
      <x:c r="K21" s="1"/>
      <x:c r="L21" s="1"/>
      <x:c r="M21" s="1"/>
      <x:c r="N21" s="1"/>
      <x:c r="O21" s="1"/>
      <x:c r="P21" s="1"/>
      <x:c r="Q21" s="1"/>
    </x:row>
    <x:row r="22" ht="23" customHeight="1">
      <x:c r="A22" s="1"/>
      <x:c r="B22" s="1"/>
      <x:c r="C22" s="1"/>
      <x:c r="D22" s="1" t="str">
        <x:v>Base</x:v>
      </x:c>
      <x:c r="E22" s="21" t="n">
        <x:v>0.04</x:v>
      </x:c>
      <x:c r="F22" s="21" t="n">
        <x:v>0.04</x:v>
      </x:c>
      <x:c r="G22" s="21" t="n">
        <x:v>0.04</x:v>
      </x:c>
      <x:c r="H22" s="21" t="n">
        <x:v>0.04</x:v>
      </x:c>
      <x:c r="I22" s="21" t="n">
        <x:v>0.04</x:v>
      </x:c>
      <x:c r="J22" s="1"/>
      <x:c r="K22" s="1"/>
      <x:c r="L22" s="1"/>
      <x:c r="M22" s="1"/>
      <x:c r="N22" s="1"/>
      <x:c r="O22" s="1"/>
      <x:c r="P22" s="1"/>
      <x:c r="Q22" s="1"/>
    </x:row>
    <x:row r="23" ht="23" customHeight="1">
      <x:c r="A23" s="1"/>
      <x:c r="B23" s="1"/>
      <x:c r="C23" s="1"/>
      <x:c r="D23" s="1" t="str">
        <x:v>Constrained</x:v>
      </x:c>
      <x:c r="E23" s="21" t="n">
        <x:v>0.06</x:v>
      </x:c>
      <x:c r="F23" s="21" t="n">
        <x:v>0.06</x:v>
      </x:c>
      <x:c r="G23" s="21" t="n">
        <x:v>0.06</x:v>
      </x:c>
      <x:c r="H23" s="21" t="n">
        <x:v>0.06</x:v>
      </x:c>
      <x:c r="I23" s="21" t="n">
        <x:v>0.06</x:v>
      </x:c>
      <x:c r="J23" s="1"/>
      <x:c r="K23" s="1"/>
      <x:c r="L23" s="1"/>
      <x:c r="M23" s="1"/>
      <x:c r="N23" s="1"/>
      <x:c r="O23" s="1"/>
      <x:c r="P23" s="1"/>
      <x:c r="Q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3" customHeight="1">
      <x:c r="A25" s="1"/>
      <x:c r="B25" s="1"/>
      <x:c r="C25" s="18" t="str">
        <x:v>Materials growth</x:v>
      </x:c>
      <x:c r="D25" s="18" t="str">
        <x:v>Active selection</x:v>
      </x:c>
      <x:c r="E25" s="19" t="n">
        <x:f>IF($D$4="Base",IF(COUNT(E26)=1,E26,NA()),IF($D$4="Constrained",IF(COUNT(E27)=1,E27,NA()),NA()))</x:f>
        <x:v>0.03</x:v>
      </x:c>
      <x:c r="F25" s="19" t="n">
        <x:f>IF($D$4="Base",IF(COUNT(F26)=1,F26,NA()),IF($D$4="Constrained",IF(COUNT(F27)=1,F27,NA()),NA()))</x:f>
        <x:v>0.03</x:v>
      </x:c>
      <x:c r="G25" s="19" t="n">
        <x:f>IF($D$4="Base",IF(COUNT(G26)=1,G26,NA()),IF($D$4="Constrained",IF(COUNT(G27)=1,G27,NA()),NA()))</x:f>
        <x:v>0.03</x:v>
      </x:c>
      <x:c r="H25" s="19" t="n">
        <x:f>IF($D$4="Base",IF(COUNT(H26)=1,H26,NA()),IF($D$4="Constrained",IF(COUNT(H27)=1,H27,NA()),NA()))</x:f>
        <x:v>0.03</x:v>
      </x:c>
      <x:c r="I25" s="19" t="n">
        <x:f>IF($D$4="Base",IF(COUNT(I26)=1,I26,NA()),IF($D$4="Constrained",IF(COUNT(I27)=1,I27,NA()),NA()))</x:f>
        <x:v>0.03</x:v>
      </x:c>
      <x:c r="J25" s="1"/>
      <x:c r="K25" s="1"/>
      <x:c r="L25" s="1"/>
      <x:c r="M25" s="1"/>
      <x:c r="N25" s="1"/>
      <x:c r="O25" s="1"/>
      <x:c r="P25" s="1"/>
      <x:c r="Q25" s="1"/>
    </x:row>
    <x:row r="26" ht="23" customHeight="1">
      <x:c r="A26" s="1"/>
      <x:c r="B26" s="1"/>
      <x:c r="C26" s="1"/>
      <x:c r="D26" s="1" t="str">
        <x:v>Base</x:v>
      </x:c>
      <x:c r="E26" s="21" t="n">
        <x:v>0.03</x:v>
      </x:c>
      <x:c r="F26" s="21" t="n">
        <x:v>0.03</x:v>
      </x:c>
      <x:c r="G26" s="21" t="n">
        <x:v>0.03</x:v>
      </x:c>
      <x:c r="H26" s="21" t="n">
        <x:v>0.03</x:v>
      </x:c>
      <x:c r="I26" s="21" t="n">
        <x:v>0.03</x:v>
      </x:c>
      <x:c r="J26" s="1"/>
      <x:c r="K26" s="1"/>
      <x:c r="L26" s="1"/>
      <x:c r="M26" s="1"/>
      <x:c r="N26" s="1"/>
      <x:c r="O26" s="1"/>
      <x:c r="P26" s="1"/>
      <x:c r="Q26" s="1"/>
    </x:row>
    <x:row r="27" ht="23" customHeight="1">
      <x:c r="A27" s="1"/>
      <x:c r="B27" s="1"/>
      <x:c r="C27" s="1"/>
      <x:c r="D27" s="1" t="str">
        <x:v>Constrained</x:v>
      </x:c>
      <x:c r="E27" s="21" t="n">
        <x:v>0.05</x:v>
      </x:c>
      <x:c r="F27" s="21" t="n">
        <x:v>0.05</x:v>
      </x:c>
      <x:c r="G27" s="21" t="n">
        <x:v>0.05</x:v>
      </x:c>
      <x:c r="H27" s="21" t="n">
        <x:v>0.05</x:v>
      </x:c>
      <x:c r="I27" s="21" t="n">
        <x:v>0.05</x:v>
      </x:c>
      <x:c r="J27" s="1"/>
      <x:c r="K27" s="1"/>
      <x:c r="L27" s="1"/>
      <x:c r="M27" s="1"/>
      <x:c r="N27" s="1"/>
      <x:c r="O27" s="1"/>
      <x:c r="P27" s="1"/>
      <x:c r="Q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3" customHeight="1">
      <x:c r="A30" s="1"/>
      <x:c r="B30" s="1"/>
      <x:c r="C30" s="1" t="str">
        <x:v>Blue values are editable; active rows feed the forecast.</x:v>
      </x:c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3" customHeight="1">
      <x:c r="A31" s="1"/>
      <x:c r="B31" s="1"/>
      <x:c r="C31" s="1" t="str">
        <x:v>Blank or invalid drivers return an unavailable result, not zero.</x:v>
      </x:c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3" customHeight="1">
      <x:c r="A33" s="1"/>
      <x:c r="B33" s="1"/>
      <x:c r="C33" s="1" t="str">
        <x:v>Source: synthetic rate definitions in scripts/rebuild.py and data/forecast_rates.csv.</x:v>
      </x:c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</x:sheetData>
  <x:dataValidations count="1">
    <x:dataValidation type="list" sqref="D4">
      <x:formula1>"Base,Constrained"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26" hidden="0" customWidth="1"/>
    <x:col min="4" max="4" width="29" hidden="0" customWidth="1"/>
    <x:col min="5" max="5" width="1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1"/>
      <x:c r="B2" s="1"/>
      <x:c r="C2" s="12" t="str">
        <x:v>Department operating plan</x:v>
      </x:c>
      <x:c r="D2" s="13"/>
      <x:c r="E2" s="13"/>
      <x:c r="F2" s="13"/>
      <x:c r="G2" s="13"/>
      <x:c r="H2" s="13"/>
      <x:c r="I2" s="13"/>
      <x:c r="J2" s="13"/>
      <x:c r="K2" s="13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 t="str">
        <x:v>Case Selected:</x:v>
      </x:c>
      <x:c r="D4" s="24" t="str">
        <x:f>'Assumptions'!$D$4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30" customHeight="1">
      <x:c r="A6" s="1"/>
      <x:c r="B6" s="1"/>
      <x:c r="C6" s="10" t="str">
        <x:v>Department</x:v>
      </x:c>
      <x:c r="D6" s="10" t="str">
        <x:v>Account</x:v>
      </x:c>
      <x:c r="E6" s="10" t="str">
        <x:v>Type</x:v>
      </x:c>
      <x:c r="F6" s="10" t="str">
        <x:v>FY:26 Actual</x:v>
      </x:c>
      <x:c r="G6" s="10" t="str">
        <x:v>FY:27 Plan</x:v>
      </x:c>
      <x:c r="H6" s="10" t="str">
        <x:v>FY:28 Plan</x:v>
      </x:c>
      <x:c r="I6" s="10" t="str">
        <x:v>FY:29 Plan</x:v>
      </x:c>
      <x:c r="J6" s="10" t="str">
        <x:v>FY:30 Plan</x:v>
      </x:c>
      <x:c r="K6" s="10" t="str">
        <x:v>FY:31 Plan</x:v>
      </x:c>
      <x:c r="L6" s="10" t="str">
        <x:v>FY 2027–29 Total</x:v>
      </x:c>
    </x:row>
    <x:row r="7" ht="23" customHeight="1">
      <x:c r="A7" s="1"/>
      <x:c r="B7" s="1"/>
      <x:c r="C7" s="1" t="str">
        <x:v>Finance</x:v>
      </x:c>
      <x:c r="D7" s="1" t="str">
        <x:v>Assigned operating support</x:v>
      </x:c>
      <x:c r="E7" s="1" t="str">
        <x:v>Funding</x:v>
      </x:c>
      <x:c r="F7" s="27" t="n">
        <x:f>IF(COUNTIFS('Monthly data'!$B$2:$B$361,2026,'Monthly data'!$C$2:$C$361,$C7,'Monthly data'!$D$2:$D$361,$D7)=12,SUMIFS('Monthly data'!$G$2:$G$361,'Monthly data'!$B$2:$B$361,2026,'Monthly data'!$C$2:$C$361,$C7,'Monthly data'!$D$2:$D$361,$D7),NA())</x:f>
        <x:v>940500.0000000001</x:v>
      </x:c>
      <x:c r="G7" s="27" t="n">
        <x:f>IF(AND(ISNUMBER('Assumptions'!E9),'Assumptions'!E9&gt;=-1),INT((ROUND(F7*100,0)*(1000000+ROUND('Assumptions'!E9*1000000,0))+500000)/1000000)/100,NA())</x:f>
        <x:v>964012.5</x:v>
      </x:c>
      <x:c r="H7" s="27" t="n">
        <x:f>IF(AND(ISNUMBER('Assumptions'!F9),'Assumptions'!F9&gt;=-1),INT((ROUND(G7*100,0)*(1000000+ROUND('Assumptions'!F9*1000000,0))+500000)/1000000)/100,NA())</x:f>
        <x:v>988112.81</x:v>
      </x:c>
      <x:c r="I7" s="27" t="n">
        <x:f>IF(AND(ISNUMBER('Assumptions'!G9),'Assumptions'!G9&gt;=-1),INT((ROUND(H7*100,0)*(1000000+ROUND('Assumptions'!G9*1000000,0))+500000)/1000000)/100,NA())</x:f>
        <x:v>1012815.63</x:v>
      </x:c>
      <x:c r="J7" s="27" t="n">
        <x:f>IF(AND(ISNUMBER('Assumptions'!H9),'Assumptions'!H9&gt;=-1),INT((ROUND(I7*100,0)*(1000000+ROUND('Assumptions'!H9*1000000,0))+500000)/1000000)/100,NA())</x:f>
        <x:v>1038136.02</x:v>
      </x:c>
      <x:c r="K7" s="27" t="n">
        <x:f>IF(AND(ISNUMBER('Assumptions'!I9),'Assumptions'!I9&gt;=-1),INT((ROUND(J7*100,0)*(1000000+ROUND('Assumptions'!I9*1000000,0))+500000)/1000000)/100,NA())</x:f>
        <x:v>1064089.42</x:v>
      </x:c>
      <x:c r="L7" s="28" t="n">
        <x:f>SUM(H7:I7)</x:f>
        <x:v>2000928.44</x:v>
      </x:c>
    </x:row>
    <x:row r="8" ht="23" customHeight="1">
      <x:c r="A8" s="1"/>
      <x:c r="B8" s="1"/>
      <x:c r="C8" s="1" t="str">
        <x:v>Finance</x:v>
      </x:c>
      <x:c r="D8" s="1" t="str">
        <x:v>Service fees</x:v>
      </x:c>
      <x:c r="E8" s="1" t="str">
        <x:v>Funding</x:v>
      </x:c>
      <x:c r="F8" s="27" t="n">
        <x:f>IF(COUNTIFS('Monthly data'!$B$2:$B$361,2026,'Monthly data'!$C$2:$C$361,$C8,'Monthly data'!$D$2:$D$361,$D8)=12,SUMIFS('Monthly data'!$G$2:$G$361,'Monthly data'!$B$2:$B$361,2026,'Monthly data'!$C$2:$C$361,$C8,'Monthly data'!$D$2:$D$361,$D8),NA())</x:f>
        <x:v>154500</x:v>
      </x:c>
      <x:c r="G8" s="27" t="n">
        <x:f>IF(AND(ISNUMBER('Assumptions'!E13),'Assumptions'!E13&gt;=-1),INT((ROUND(F8*100,0)*(1000000+ROUND('Assumptions'!E13*1000000,0))+500000)/1000000)/100,NA())</x:f>
        <x:v>159135</x:v>
      </x:c>
      <x:c r="H8" s="27" t="n">
        <x:f>IF(AND(ISNUMBER('Assumptions'!F13),'Assumptions'!F13&gt;=-1),INT((ROUND(G8*100,0)*(1000000+ROUND('Assumptions'!F13*1000000,0))+500000)/1000000)/100,NA())</x:f>
        <x:v>163909.05</x:v>
      </x:c>
      <x:c r="I8" s="27" t="n">
        <x:f>IF(AND(ISNUMBER('Assumptions'!G13),'Assumptions'!G13&gt;=-1),INT((ROUND(H8*100,0)*(1000000+ROUND('Assumptions'!G13*1000000,0))+500000)/1000000)/100,NA())</x:f>
        <x:v>168826.32</x:v>
      </x:c>
      <x:c r="J8" s="27" t="n">
        <x:f>IF(AND(ISNUMBER('Assumptions'!H13),'Assumptions'!H13&gt;=-1),INT((ROUND(I8*100,0)*(1000000+ROUND('Assumptions'!H13*1000000,0))+500000)/1000000)/100,NA())</x:f>
        <x:v>173891.11</x:v>
      </x:c>
      <x:c r="K8" s="27" t="n">
        <x:f>IF(AND(ISNUMBER('Assumptions'!I13),'Assumptions'!I13&gt;=-1),INT((ROUND(J8*100,0)*(1000000+ROUND('Assumptions'!I13*1000000,0))+500000)/1000000)/100,NA())</x:f>
        <x:v>179107.84</x:v>
      </x:c>
      <x:c r="L8" s="28" t="n">
        <x:f>SUM(H8:I8)</x:f>
        <x:v>332735.37</x:v>
      </x:c>
    </x:row>
    <x:row r="9" ht="23" customHeight="1">
      <x:c r="A9" s="1"/>
      <x:c r="B9" s="1"/>
      <x:c r="C9" s="1" t="str">
        <x:v>Finance</x:v>
      </x:c>
      <x:c r="D9" s="1" t="str">
        <x:v>Personnel</x:v>
      </x:c>
      <x:c r="E9" s="1" t="str">
        <x:v>Expense</x:v>
      </x:c>
      <x:c r="F9" s="27" t="n">
        <x:f>IF(COUNTIFS('Monthly data'!$B$2:$B$361,2026,'Monthly data'!$C$2:$C$361,$C9,'Monthly data'!$D$2:$D$361,$D9)=12,SUMIFS('Monthly data'!$G$2:$G$361,'Monthly data'!$B$2:$B$361,2026,'Monthly data'!$C$2:$C$361,$C9,'Monthly data'!$D$2:$D$361,$D9),NA())</x:f>
        <x:v>730800</x:v>
      </x:c>
      <x:c r="G9" s="27" t="n">
        <x:f>IF(AND(ISNUMBER('Assumptions'!E17),'Assumptions'!E17&gt;=-1),INT((ROUND(F9*100,0)*(1000000+ROUND('Assumptions'!E17*1000000,0))+500000)/1000000)/100,NA())</x:f>
        <x:v>763686</x:v>
      </x:c>
      <x:c r="H9" s="27" t="n">
        <x:f>IF(AND(ISNUMBER('Assumptions'!F17),'Assumptions'!F17&gt;=-1),INT((ROUND(G9*100,0)*(1000000+ROUND('Assumptions'!F17*1000000,0))+500000)/1000000)/100,NA())</x:f>
        <x:v>798051.87</x:v>
      </x:c>
      <x:c r="I9" s="27" t="n">
        <x:f>IF(AND(ISNUMBER('Assumptions'!G17),'Assumptions'!G17&gt;=-1),INT((ROUND(H9*100,0)*(1000000+ROUND('Assumptions'!G17*1000000,0))+500000)/1000000)/100,NA())</x:f>
        <x:v>833964.2</x:v>
      </x:c>
      <x:c r="J9" s="27" t="n">
        <x:f>IF(AND(ISNUMBER('Assumptions'!H17),'Assumptions'!H17&gt;=-1),INT((ROUND(I9*100,0)*(1000000+ROUND('Assumptions'!H17*1000000,0))+500000)/1000000)/100,NA())</x:f>
        <x:v>871492.59</x:v>
      </x:c>
      <x:c r="K9" s="27" t="n">
        <x:f>IF(AND(ISNUMBER('Assumptions'!I17),'Assumptions'!I17&gt;=-1),INT((ROUND(J9*100,0)*(1000000+ROUND('Assumptions'!I17*1000000,0))+500000)/1000000)/100,NA())</x:f>
        <x:v>910709.76</x:v>
      </x:c>
      <x:c r="L9" s="28" t="n">
        <x:f>SUM(H9:I9)</x:f>
        <x:v>1632016.0699999998</x:v>
      </x:c>
    </x:row>
    <x:row r="10" ht="23" customHeight="1">
      <x:c r="A10" s="1"/>
      <x:c r="B10" s="1"/>
      <x:c r="C10" s="1" t="str">
        <x:v>Finance</x:v>
      </x:c>
      <x:c r="D10" s="1" t="str">
        <x:v>Contract services</x:v>
      </x:c>
      <x:c r="E10" s="1" t="str">
        <x:v>Expense</x:v>
      </x:c>
      <x:c r="F10" s="27" t="n">
        <x:f>IF(COUNTIFS('Monthly data'!$B$2:$B$361,2026,'Monthly data'!$C$2:$C$361,$C10,'Monthly data'!$D$2:$D$361,$D10)=12,SUMIFS('Monthly data'!$G$2:$G$361,'Monthly data'!$B$2:$B$361,2026,'Monthly data'!$C$2:$C$361,$C10,'Monthly data'!$D$2:$D$361,$D10),NA())</x:f>
        <x:v>201599.99999999997</x:v>
      </x:c>
      <x:c r="G10" s="27" t="n">
        <x:f>IF(AND(ISNUMBER('Assumptions'!E21),'Assumptions'!E21&gt;=-1),INT((ROUND(F10*100,0)*(1000000+ROUND('Assumptions'!E21*1000000,0))+500000)/1000000)/100,NA())</x:f>
        <x:v>209664</x:v>
      </x:c>
      <x:c r="H10" s="27" t="n">
        <x:f>IF(AND(ISNUMBER('Assumptions'!F21),'Assumptions'!F21&gt;=-1),INT((ROUND(G10*100,0)*(1000000+ROUND('Assumptions'!F21*1000000,0))+500000)/1000000)/100,NA())</x:f>
        <x:v>218050.56</x:v>
      </x:c>
      <x:c r="I10" s="27" t="n">
        <x:f>IF(AND(ISNUMBER('Assumptions'!G21),'Assumptions'!G21&gt;=-1),INT((ROUND(H10*100,0)*(1000000+ROUND('Assumptions'!G21*1000000,0))+500000)/1000000)/100,NA())</x:f>
        <x:v>226772.58</x:v>
      </x:c>
      <x:c r="J10" s="27" t="n">
        <x:f>IF(AND(ISNUMBER('Assumptions'!H21),'Assumptions'!H21&gt;=-1),INT((ROUND(I10*100,0)*(1000000+ROUND('Assumptions'!H21*1000000,0))+500000)/1000000)/100,NA())</x:f>
        <x:v>235843.48</x:v>
      </x:c>
      <x:c r="K10" s="27" t="n">
        <x:f>IF(AND(ISNUMBER('Assumptions'!I21),'Assumptions'!I21&gt;=-1),INT((ROUND(J10*100,0)*(1000000+ROUND('Assumptions'!I21*1000000,0))+500000)/1000000)/100,NA())</x:f>
        <x:v>245277.22</x:v>
      </x:c>
      <x:c r="L10" s="28" t="n">
        <x:f>SUM(H10:I10)</x:f>
        <x:v>444823.14</x:v>
      </x:c>
    </x:row>
    <x:row r="11" ht="23" customHeight="1">
      <x:c r="A11" s="1"/>
      <x:c r="B11" s="1"/>
      <x:c r="C11" s="1" t="str">
        <x:v>Finance</x:v>
      </x:c>
      <x:c r="D11" s="1" t="str">
        <x:v>Materials</x:v>
      </x:c>
      <x:c r="E11" s="1" t="str">
        <x:v>Expense</x:v>
      </x:c>
      <x:c r="F11" s="27" t="n">
        <x:f>IF(COUNTIFS('Monthly data'!$B$2:$B$361,2026,'Monthly data'!$C$2:$C$361,$C11,'Monthly data'!$D$2:$D$361,$D11)=12,SUMIFS('Monthly data'!$G$2:$G$361,'Monthly data'!$B$2:$B$361,2026,'Monthly data'!$C$2:$C$361,$C11,'Monthly data'!$D$2:$D$361,$D11),NA())</x:f>
        <x:v>67899.99999999999</x:v>
      </x:c>
      <x:c r="G11" s="27" t="n">
        <x:f>IF(AND(ISNUMBER('Assumptions'!E25),'Assumptions'!E25&gt;=-1),INT((ROUND(F11*100,0)*(1000000+ROUND('Assumptions'!E25*1000000,0))+500000)/1000000)/100,NA())</x:f>
        <x:v>69937</x:v>
      </x:c>
      <x:c r="H11" s="27" t="n">
        <x:f>IF(AND(ISNUMBER('Assumptions'!F25),'Assumptions'!F25&gt;=-1),INT((ROUND(G11*100,0)*(1000000+ROUND('Assumptions'!F25*1000000,0))+500000)/1000000)/100,NA())</x:f>
        <x:v>72035.11</x:v>
      </x:c>
      <x:c r="I11" s="27" t="n">
        <x:f>IF(AND(ISNUMBER('Assumptions'!G25),'Assumptions'!G25&gt;=-1),INT((ROUND(H11*100,0)*(1000000+ROUND('Assumptions'!G25*1000000,0))+500000)/1000000)/100,NA())</x:f>
        <x:v>74196.16</x:v>
      </x:c>
      <x:c r="J11" s="27" t="n">
        <x:f>IF(AND(ISNUMBER('Assumptions'!H25),'Assumptions'!H25&gt;=-1),INT((ROUND(I11*100,0)*(1000000+ROUND('Assumptions'!H25*1000000,0))+500000)/1000000)/100,NA())</x:f>
        <x:v>76422.04</x:v>
      </x:c>
      <x:c r="K11" s="27" t="n">
        <x:f>IF(AND(ISNUMBER('Assumptions'!I25),'Assumptions'!I25&gt;=-1),INT((ROUND(J11*100,0)*(1000000+ROUND('Assumptions'!I25*1000000,0))+500000)/1000000)/100,NA())</x:f>
        <x:v>78714.7</x:v>
      </x:c>
      <x:c r="L11" s="28" t="n">
        <x:f>SUM(H11:I11)</x:f>
        <x:v>146231.27000000002</x:v>
      </x:c>
    </x:row>
    <x:row r="12" ht="23" customHeight="1">
      <x:c r="A12" s="1"/>
      <x:c r="B12" s="1"/>
      <x:c r="C12" s="1" t="str">
        <x:v>Public Works</x:v>
      </x:c>
      <x:c r="D12" s="1" t="str">
        <x:v>Assigned operating support</x:v>
      </x:c>
      <x:c r="E12" s="1" t="str">
        <x:v>Funding</x:v>
      </x:c>
      <x:c r="F12" s="27" t="n">
        <x:f>IF(COUNTIFS('Monthly data'!$B$2:$B$361,2026,'Monthly data'!$C$2:$C$361,$C12,'Monthly data'!$D$2:$D$361,$D12)=12,SUMIFS('Monthly data'!$G$2:$G$361,'Monthly data'!$B$2:$B$361,2026,'Monthly data'!$C$2:$C$361,$C12,'Monthly data'!$D$2:$D$361,$D12),NA())</x:f>
        <x:v>3069000</x:v>
      </x:c>
      <x:c r="G12" s="27" t="n">
        <x:f>IF(AND(ISNUMBER('Assumptions'!E9),'Assumptions'!E9&gt;=-1),INT((ROUND(F12*100,0)*(1000000+ROUND('Assumptions'!E9*1000000,0))+500000)/1000000)/100,NA())</x:f>
        <x:v>3145725</x:v>
      </x:c>
      <x:c r="H12" s="27" t="n">
        <x:f>IF(AND(ISNUMBER('Assumptions'!F9),'Assumptions'!F9&gt;=-1),INT((ROUND(G12*100,0)*(1000000+ROUND('Assumptions'!F9*1000000,0))+500000)/1000000)/100,NA())</x:f>
        <x:v>3224368.13</x:v>
      </x:c>
      <x:c r="I12" s="27" t="n">
        <x:f>IF(AND(ISNUMBER('Assumptions'!G9),'Assumptions'!G9&gt;=-1),INT((ROUND(H12*100,0)*(1000000+ROUND('Assumptions'!G9*1000000,0))+500000)/1000000)/100,NA())</x:f>
        <x:v>3304977.33</x:v>
      </x:c>
      <x:c r="J12" s="27" t="n">
        <x:f>IF(AND(ISNUMBER('Assumptions'!H9),'Assumptions'!H9&gt;=-1),INT((ROUND(I12*100,0)*(1000000+ROUND('Assumptions'!H9*1000000,0))+500000)/1000000)/100,NA())</x:f>
        <x:v>3387601.76</x:v>
      </x:c>
      <x:c r="K12" s="27" t="n">
        <x:f>IF(AND(ISNUMBER('Assumptions'!I9),'Assumptions'!I9&gt;=-1),INT((ROUND(J12*100,0)*(1000000+ROUND('Assumptions'!I9*1000000,0))+500000)/1000000)/100,NA())</x:f>
        <x:v>3472291.8</x:v>
      </x:c>
      <x:c r="L12" s="28" t="n">
        <x:f>SUM(H12:I12)</x:f>
        <x:v>6529345.46</x:v>
      </x:c>
    </x:row>
    <x:row r="13" ht="23" customHeight="1">
      <x:c r="A13" s="1"/>
      <x:c r="B13" s="1"/>
      <x:c r="C13" s="1" t="str">
        <x:v>Public Works</x:v>
      </x:c>
      <x:c r="D13" s="1" t="str">
        <x:v>Service fees</x:v>
      </x:c>
      <x:c r="E13" s="1" t="str">
        <x:v>Funding</x:v>
      </x:c>
      <x:c r="F13" s="27" t="n">
        <x:f>IF(COUNTIFS('Monthly data'!$B$2:$B$361,2026,'Monthly data'!$C$2:$C$361,$C13,'Monthly data'!$D$2:$D$361,$D13)=12,SUMIFS('Monthly data'!$G$2:$G$361,'Monthly data'!$B$2:$B$361,2026,'Monthly data'!$C$2:$C$361,$C13,'Monthly data'!$D$2:$D$361,$D13),NA())</x:f>
        <x:v>663000</x:v>
      </x:c>
      <x:c r="G13" s="27" t="n">
        <x:f>IF(AND(ISNUMBER('Assumptions'!E13),'Assumptions'!E13&gt;=-1),INT((ROUND(F13*100,0)*(1000000+ROUND('Assumptions'!E13*1000000,0))+500000)/1000000)/100,NA())</x:f>
        <x:v>682890</x:v>
      </x:c>
      <x:c r="H13" s="27" t="n">
        <x:f>IF(AND(ISNUMBER('Assumptions'!F13),'Assumptions'!F13&gt;=-1),INT((ROUND(G13*100,0)*(1000000+ROUND('Assumptions'!F13*1000000,0))+500000)/1000000)/100,NA())</x:f>
        <x:v>703376.7</x:v>
      </x:c>
      <x:c r="I13" s="27" t="n">
        <x:f>IF(AND(ISNUMBER('Assumptions'!G13),'Assumptions'!G13&gt;=-1),INT((ROUND(H13*100,0)*(1000000+ROUND('Assumptions'!G13*1000000,0))+500000)/1000000)/100,NA())</x:f>
        <x:v>724478</x:v>
      </x:c>
      <x:c r="J13" s="27" t="n">
        <x:f>IF(AND(ISNUMBER('Assumptions'!H13),'Assumptions'!H13&gt;=-1),INT((ROUND(I13*100,0)*(1000000+ROUND('Assumptions'!H13*1000000,0))+500000)/1000000)/100,NA())</x:f>
        <x:v>746212.34</x:v>
      </x:c>
      <x:c r="K13" s="27" t="n">
        <x:f>IF(AND(ISNUMBER('Assumptions'!I13),'Assumptions'!I13&gt;=-1),INT((ROUND(J13*100,0)*(1000000+ROUND('Assumptions'!I13*1000000,0))+500000)/1000000)/100,NA())</x:f>
        <x:v>768598.71</x:v>
      </x:c>
      <x:c r="L13" s="28" t="n">
        <x:f>SUM(H13:I13)</x:f>
        <x:v>1427854.7</x:v>
      </x:c>
    </x:row>
    <x:row r="14" ht="23" customHeight="1">
      <x:c r="A14" s="1"/>
      <x:c r="B14" s="1"/>
      <x:c r="C14" s="1" t="str">
        <x:v>Public Works</x:v>
      </x:c>
      <x:c r="D14" s="1" t="str">
        <x:v>Personnel</x:v>
      </x:c>
      <x:c r="E14" s="1" t="str">
        <x:v>Expense</x:v>
      </x:c>
      <x:c r="F14" s="27" t="n">
        <x:f>IF(COUNTIFS('Monthly data'!$B$2:$B$361,2026,'Monthly data'!$C$2:$C$361,$C14,'Monthly data'!$D$2:$D$361,$D14)=12,SUMIFS('Monthly data'!$G$2:$G$361,'Monthly data'!$B$2:$B$361,2026,'Monthly data'!$C$2:$C$361,$C14,'Monthly data'!$D$2:$D$361,$D14),NA())</x:f>
        <x:v>2332000</x:v>
      </x:c>
      <x:c r="G14" s="27" t="n">
        <x:f>IF(AND(ISNUMBER('Assumptions'!E17),'Assumptions'!E17&gt;=-1),INT((ROUND(F14*100,0)*(1000000+ROUND('Assumptions'!E17*1000000,0))+500000)/1000000)/100,NA())</x:f>
        <x:v>2436940</x:v>
      </x:c>
      <x:c r="H14" s="27" t="n">
        <x:f>IF(AND(ISNUMBER('Assumptions'!F17),'Assumptions'!F17&gt;=-1),INT((ROUND(G14*100,0)*(1000000+ROUND('Assumptions'!F17*1000000,0))+500000)/1000000)/100,NA())</x:f>
        <x:v>2546602.3</x:v>
      </x:c>
      <x:c r="I14" s="27" t="n">
        <x:f>IF(AND(ISNUMBER('Assumptions'!G17),'Assumptions'!G17&gt;=-1),INT((ROUND(H14*100,0)*(1000000+ROUND('Assumptions'!G17*1000000,0))+500000)/1000000)/100,NA())</x:f>
        <x:v>2661199.4</x:v>
      </x:c>
      <x:c r="J14" s="27" t="n">
        <x:f>IF(AND(ISNUMBER('Assumptions'!H17),'Assumptions'!H17&gt;=-1),INT((ROUND(I14*100,0)*(1000000+ROUND('Assumptions'!H17*1000000,0))+500000)/1000000)/100,NA())</x:f>
        <x:v>2780953.37</x:v>
      </x:c>
      <x:c r="K14" s="27" t="n">
        <x:f>IF(AND(ISNUMBER('Assumptions'!I17),'Assumptions'!I17&gt;=-1),INT((ROUND(J14*100,0)*(1000000+ROUND('Assumptions'!I17*1000000,0))+500000)/1000000)/100,NA())</x:f>
        <x:v>2906096.27</x:v>
      </x:c>
      <x:c r="L14" s="28" t="n">
        <x:f>SUM(H14:I14)</x:f>
        <x:v>5207801.699999999</x:v>
      </x:c>
    </x:row>
    <x:row r="15" ht="23" customHeight="1">
      <x:c r="A15" s="1"/>
      <x:c r="B15" s="1"/>
      <x:c r="C15" s="1" t="str">
        <x:v>Public Works</x:v>
      </x:c>
      <x:c r="D15" s="1" t="str">
        <x:v>Contract services</x:v>
      </x:c>
      <x:c r="E15" s="1" t="str">
        <x:v>Expense</x:v>
      </x:c>
      <x:c r="F15" s="27" t="n">
        <x:f>IF(COUNTIFS('Monthly data'!$B$2:$B$361,2026,'Monthly data'!$C$2:$C$361,$C15,'Monthly data'!$D$2:$D$361,$D15)=12,SUMIFS('Monthly data'!$G$2:$G$361,'Monthly data'!$B$2:$B$361,2026,'Monthly data'!$C$2:$C$361,$C15,'Monthly data'!$D$2:$D$361,$D15),NA())</x:f>
        <x:v>1076250</x:v>
      </x:c>
      <x:c r="G15" s="27" t="n">
        <x:f>IF(AND(ISNUMBER('Assumptions'!E21),'Assumptions'!E21&gt;=-1),INT((ROUND(F15*100,0)*(1000000+ROUND('Assumptions'!E21*1000000,0))+500000)/1000000)/100,NA())</x:f>
        <x:v>1119300</x:v>
      </x:c>
      <x:c r="H15" s="27" t="n">
        <x:f>IF(AND(ISNUMBER('Assumptions'!F21),'Assumptions'!F21&gt;=-1),INT((ROUND(G15*100,0)*(1000000+ROUND('Assumptions'!F21*1000000,0))+500000)/1000000)/100,NA())</x:f>
        <x:v>1164072</x:v>
      </x:c>
      <x:c r="I15" s="27" t="n">
        <x:f>IF(AND(ISNUMBER('Assumptions'!G21),'Assumptions'!G21&gt;=-1),INT((ROUND(H15*100,0)*(1000000+ROUND('Assumptions'!G21*1000000,0))+500000)/1000000)/100,NA())</x:f>
        <x:v>1210634.88</x:v>
      </x:c>
      <x:c r="J15" s="27" t="n">
        <x:f>IF(AND(ISNUMBER('Assumptions'!H21),'Assumptions'!H21&gt;=-1),INT((ROUND(I15*100,0)*(1000000+ROUND('Assumptions'!H21*1000000,0))+500000)/1000000)/100,NA())</x:f>
        <x:v>1259060.28</x:v>
      </x:c>
      <x:c r="K15" s="27" t="n">
        <x:f>IF(AND(ISNUMBER('Assumptions'!I21),'Assumptions'!I21&gt;=-1),INT((ROUND(J15*100,0)*(1000000+ROUND('Assumptions'!I21*1000000,0))+500000)/1000000)/100,NA())</x:f>
        <x:v>1309422.69</x:v>
      </x:c>
      <x:c r="L15" s="28" t="n">
        <x:f>SUM(H15:I15)</x:f>
        <x:v>2374706.88</x:v>
      </x:c>
    </x:row>
    <x:row r="16" ht="23" customHeight="1">
      <x:c r="A16" s="1"/>
      <x:c r="B16" s="1"/>
      <x:c r="C16" s="1" t="str">
        <x:v>Public Works</x:v>
      </x:c>
      <x:c r="D16" s="1" t="str">
        <x:v>Materials</x:v>
      </x:c>
      <x:c r="E16" s="1" t="str">
        <x:v>Expense</x:v>
      </x:c>
      <x:c r="F16" s="27" t="n">
        <x:f>IF(COUNTIFS('Monthly data'!$B$2:$B$361,2026,'Monthly data'!$C$2:$C$361,$C16,'Monthly data'!$D$2:$D$361,$D16)=12,SUMIFS('Monthly data'!$G$2:$G$361,'Monthly data'!$B$2:$B$361,2026,'Monthly data'!$C$2:$C$361,$C16,'Monthly data'!$D$2:$D$361,$D16),NA())</x:f>
        <x:v>416000.00000000006</x:v>
      </x:c>
      <x:c r="G16" s="27" t="n">
        <x:f>IF(AND(ISNUMBER('Assumptions'!E25),'Assumptions'!E25&gt;=-1),INT((ROUND(F16*100,0)*(1000000+ROUND('Assumptions'!E25*1000000,0))+500000)/1000000)/100,NA())</x:f>
        <x:v>428480</x:v>
      </x:c>
      <x:c r="H16" s="27" t="n">
        <x:f>IF(AND(ISNUMBER('Assumptions'!F25),'Assumptions'!F25&gt;=-1),INT((ROUND(G16*100,0)*(1000000+ROUND('Assumptions'!F25*1000000,0))+500000)/1000000)/100,NA())</x:f>
        <x:v>441334.4</x:v>
      </x:c>
      <x:c r="I16" s="27" t="n">
        <x:f>IF(AND(ISNUMBER('Assumptions'!G25),'Assumptions'!G25&gt;=-1),INT((ROUND(H16*100,0)*(1000000+ROUND('Assumptions'!G25*1000000,0))+500000)/1000000)/100,NA())</x:f>
        <x:v>454574.43</x:v>
      </x:c>
      <x:c r="J16" s="27" t="n">
        <x:f>IF(AND(ISNUMBER('Assumptions'!H25),'Assumptions'!H25&gt;=-1),INT((ROUND(I16*100,0)*(1000000+ROUND('Assumptions'!H25*1000000,0))+500000)/1000000)/100,NA())</x:f>
        <x:v>468211.66</x:v>
      </x:c>
      <x:c r="K16" s="27" t="n">
        <x:f>IF(AND(ISNUMBER('Assumptions'!I25),'Assumptions'!I25&gt;=-1),INT((ROUND(J16*100,0)*(1000000+ROUND('Assumptions'!I25*1000000,0))+500000)/1000000)/100,NA())</x:f>
        <x:v>482258.01</x:v>
      </x:c>
      <x:c r="L16" s="28" t="n">
        <x:f>SUM(H16:I16)</x:f>
        <x:v>895908.8300000001</x:v>
      </x:c>
    </x:row>
    <x:row r="17" ht="23" customHeight="1">
      <x:c r="A17" s="1"/>
      <x:c r="B17" s="1"/>
      <x:c r="C17" s="1" t="str">
        <x:v>Parks and Recreation</x:v>
      </x:c>
      <x:c r="D17" s="1" t="str">
        <x:v>Assigned operating support</x:v>
      </x:c>
      <x:c r="E17" s="1" t="str">
        <x:v>Funding</x:v>
      </x:c>
      <x:c r="F17" s="27" t="n">
        <x:f>IF(COUNTIFS('Monthly data'!$B$2:$B$361,2026,'Monthly data'!$C$2:$C$361,$C17,'Monthly data'!$D$2:$D$361,$D17)=12,SUMIFS('Monthly data'!$G$2:$G$361,'Monthly data'!$B$2:$B$361,2026,'Monthly data'!$C$2:$C$361,$C17,'Monthly data'!$D$2:$D$361,$D17),NA())</x:f>
        <x:v>1782000</x:v>
      </x:c>
      <x:c r="G17" s="27" t="n">
        <x:f>IF(AND(ISNUMBER('Assumptions'!E9),'Assumptions'!E9&gt;=-1),INT((ROUND(F17*100,0)*(1000000+ROUND('Assumptions'!E9*1000000,0))+500000)/1000000)/100,NA())</x:f>
        <x:v>1826550</x:v>
      </x:c>
      <x:c r="H17" s="27" t="n">
        <x:f>IF(AND(ISNUMBER('Assumptions'!F9),'Assumptions'!F9&gt;=-1),INT((ROUND(G17*100,0)*(1000000+ROUND('Assumptions'!F9*1000000,0))+500000)/1000000)/100,NA())</x:f>
        <x:v>1872213.75</x:v>
      </x:c>
      <x:c r="I17" s="27" t="n">
        <x:f>IF(AND(ISNUMBER('Assumptions'!G9),'Assumptions'!G9&gt;=-1),INT((ROUND(H17*100,0)*(1000000+ROUND('Assumptions'!G9*1000000,0))+500000)/1000000)/100,NA())</x:f>
        <x:v>1919019.09</x:v>
      </x:c>
      <x:c r="J17" s="27" t="n">
        <x:f>IF(AND(ISNUMBER('Assumptions'!H9),'Assumptions'!H9&gt;=-1),INT((ROUND(I17*100,0)*(1000000+ROUND('Assumptions'!H9*1000000,0))+500000)/1000000)/100,NA())</x:f>
        <x:v>1966994.57</x:v>
      </x:c>
      <x:c r="K17" s="27" t="n">
        <x:f>IF(AND(ISNUMBER('Assumptions'!I9),'Assumptions'!I9&gt;=-1),INT((ROUND(J17*100,0)*(1000000+ROUND('Assumptions'!I9*1000000,0))+500000)/1000000)/100,NA())</x:f>
        <x:v>2016169.43</x:v>
      </x:c>
      <x:c r="L17" s="28" t="n">
        <x:f>SUM(H17:I17)</x:f>
        <x:v>3791232.84</x:v>
      </x:c>
    </x:row>
    <x:row r="18" ht="23" customHeight="1">
      <x:c r="A18" s="1"/>
      <x:c r="B18" s="1"/>
      <x:c r="C18" s="1" t="str">
        <x:v>Parks and Recreation</x:v>
      </x:c>
      <x:c r="D18" s="1" t="str">
        <x:v>Service fees</x:v>
      </x:c>
      <x:c r="E18" s="1" t="str">
        <x:v>Funding</x:v>
      </x:c>
      <x:c r="F18" s="27" t="n">
        <x:f>IF(COUNTIFS('Monthly data'!$B$2:$B$361,2026,'Monthly data'!$C$2:$C$361,$C18,'Monthly data'!$D$2:$D$361,$D18)=12,SUMIFS('Monthly data'!$G$2:$G$361,'Monthly data'!$B$2:$B$361,2026,'Monthly data'!$C$2:$C$361,$C18,'Monthly data'!$D$2:$D$361,$D18),NA())</x:f>
        <x:v>864000</x:v>
      </x:c>
      <x:c r="G18" s="27" t="n">
        <x:f>IF(AND(ISNUMBER('Assumptions'!E13),'Assumptions'!E13&gt;=-1),INT((ROUND(F18*100,0)*(1000000+ROUND('Assumptions'!E13*1000000,0))+500000)/1000000)/100,NA())</x:f>
        <x:v>889920</x:v>
      </x:c>
      <x:c r="H18" s="27" t="n">
        <x:f>IF(AND(ISNUMBER('Assumptions'!F13),'Assumptions'!F13&gt;=-1),INT((ROUND(G18*100,0)*(1000000+ROUND('Assumptions'!F13*1000000,0))+500000)/1000000)/100,NA())</x:f>
        <x:v>916617.6</x:v>
      </x:c>
      <x:c r="I18" s="27" t="n">
        <x:f>IF(AND(ISNUMBER('Assumptions'!G13),'Assumptions'!G13&gt;=-1),INT((ROUND(H18*100,0)*(1000000+ROUND('Assumptions'!G13*1000000,0))+500000)/1000000)/100,NA())</x:f>
        <x:v>944116.13</x:v>
      </x:c>
      <x:c r="J18" s="27" t="n">
        <x:f>IF(AND(ISNUMBER('Assumptions'!H13),'Assumptions'!H13&gt;=-1),INT((ROUND(I18*100,0)*(1000000+ROUND('Assumptions'!H13*1000000,0))+500000)/1000000)/100,NA())</x:f>
        <x:v>972439.61</x:v>
      </x:c>
      <x:c r="K18" s="27" t="n">
        <x:f>IF(AND(ISNUMBER('Assumptions'!I13),'Assumptions'!I13&gt;=-1),INT((ROUND(J18*100,0)*(1000000+ROUND('Assumptions'!I13*1000000,0))+500000)/1000000)/100,NA())</x:f>
        <x:v>1001612.8</x:v>
      </x:c>
      <x:c r="L18" s="28" t="n">
        <x:f>SUM(H18:I18)</x:f>
        <x:v>1860733.73</x:v>
      </x:c>
    </x:row>
    <x:row r="19" ht="23" customHeight="1">
      <x:c r="A19" s="1"/>
      <x:c r="B19" s="1"/>
      <x:c r="C19" s="1" t="str">
        <x:v>Parks and Recreation</x:v>
      </x:c>
      <x:c r="D19" s="1" t="str">
        <x:v>Personnel</x:v>
      </x:c>
      <x:c r="E19" s="1" t="str">
        <x:v>Expense</x:v>
      </x:c>
      <x:c r="F19" s="27" t="n">
        <x:f>IF(COUNTIFS('Monthly data'!$B$2:$B$361,2026,'Monthly data'!$C$2:$C$361,$C19,'Monthly data'!$D$2:$D$361,$D19)=12,SUMIFS('Monthly data'!$G$2:$G$361,'Monthly data'!$B$2:$B$361,2026,'Monthly data'!$C$2:$C$361,$C19,'Monthly data'!$D$2:$D$361,$D19),NA())</x:f>
        <x:v>1742500</x:v>
      </x:c>
      <x:c r="G19" s="27" t="n">
        <x:f>IF(AND(ISNUMBER('Assumptions'!E17),'Assumptions'!E17&gt;=-1),INT((ROUND(F19*100,0)*(1000000+ROUND('Assumptions'!E17*1000000,0))+500000)/1000000)/100,NA())</x:f>
        <x:v>1820912.5</x:v>
      </x:c>
      <x:c r="H19" s="27" t="n">
        <x:f>IF(AND(ISNUMBER('Assumptions'!F17),'Assumptions'!F17&gt;=-1),INT((ROUND(G19*100,0)*(1000000+ROUND('Assumptions'!F17*1000000,0))+500000)/1000000)/100,NA())</x:f>
        <x:v>1902853.56</x:v>
      </x:c>
      <x:c r="I19" s="27" t="n">
        <x:f>IF(AND(ISNUMBER('Assumptions'!G17),'Assumptions'!G17&gt;=-1),INT((ROUND(H19*100,0)*(1000000+ROUND('Assumptions'!G17*1000000,0))+500000)/1000000)/100,NA())</x:f>
        <x:v>1988481.97</x:v>
      </x:c>
      <x:c r="J19" s="27" t="n">
        <x:f>IF(AND(ISNUMBER('Assumptions'!H17),'Assumptions'!H17&gt;=-1),INT((ROUND(I19*100,0)*(1000000+ROUND('Assumptions'!H17*1000000,0))+500000)/1000000)/100,NA())</x:f>
        <x:v>2077963.66</x:v>
      </x:c>
      <x:c r="K19" s="27" t="n">
        <x:f>IF(AND(ISNUMBER('Assumptions'!I17),'Assumptions'!I17&gt;=-1),INT((ROUND(J19*100,0)*(1000000+ROUND('Assumptions'!I17*1000000,0))+500000)/1000000)/100,NA())</x:f>
        <x:v>2171472.02</x:v>
      </x:c>
      <x:c r="L19" s="28" t="n">
        <x:f>SUM(H19:I19)</x:f>
        <x:v>3891335.5300000003</x:v>
      </x:c>
    </x:row>
    <x:row r="20" ht="23" customHeight="1">
      <x:c r="A20" s="1"/>
      <x:c r="B20" s="1"/>
      <x:c r="C20" s="1" t="str">
        <x:v>Parks and Recreation</x:v>
      </x:c>
      <x:c r="D20" s="1" t="str">
        <x:v>Contract services</x:v>
      </x:c>
      <x:c r="E20" s="1" t="str">
        <x:v>Expense</x:v>
      </x:c>
      <x:c r="F20" s="27" t="n">
        <x:f>IF(COUNTIFS('Monthly data'!$B$2:$B$361,2026,'Monthly data'!$C$2:$C$361,$C20,'Monthly data'!$D$2:$D$361,$D20)=12,SUMIFS('Monthly data'!$G$2:$G$361,'Monthly data'!$B$2:$B$361,2026,'Monthly data'!$C$2:$C$361,$C20,'Monthly data'!$D$2:$D$361,$D20),NA())</x:f>
        <x:v>572000</x:v>
      </x:c>
      <x:c r="G20" s="27" t="n">
        <x:f>IF(AND(ISNUMBER('Assumptions'!E21),'Assumptions'!E21&gt;=-1),INT((ROUND(F20*100,0)*(1000000+ROUND('Assumptions'!E21*1000000,0))+500000)/1000000)/100,NA())</x:f>
        <x:v>594880</x:v>
      </x:c>
      <x:c r="H20" s="27" t="n">
        <x:f>IF(AND(ISNUMBER('Assumptions'!F21),'Assumptions'!F21&gt;=-1),INT((ROUND(G20*100,0)*(1000000+ROUND('Assumptions'!F21*1000000,0))+500000)/1000000)/100,NA())</x:f>
        <x:v>618675.2</x:v>
      </x:c>
      <x:c r="I20" s="27" t="n">
        <x:f>IF(AND(ISNUMBER('Assumptions'!G21),'Assumptions'!G21&gt;=-1),INT((ROUND(H20*100,0)*(1000000+ROUND('Assumptions'!G21*1000000,0))+500000)/1000000)/100,NA())</x:f>
        <x:v>643422.21</x:v>
      </x:c>
      <x:c r="J20" s="27" t="n">
        <x:f>IF(AND(ISNUMBER('Assumptions'!H21),'Assumptions'!H21&gt;=-1),INT((ROUND(I20*100,0)*(1000000+ROUND('Assumptions'!H21*1000000,0))+500000)/1000000)/100,NA())</x:f>
        <x:v>669159.1</x:v>
      </x:c>
      <x:c r="K20" s="27" t="n">
        <x:f>IF(AND(ISNUMBER('Assumptions'!I21),'Assumptions'!I21&gt;=-1),INT((ROUND(J20*100,0)*(1000000+ROUND('Assumptions'!I21*1000000,0))+500000)/1000000)/100,NA())</x:f>
        <x:v>695925.46</x:v>
      </x:c>
      <x:c r="L20" s="28" t="n">
        <x:f>SUM(H20:I20)</x:f>
        <x:v>1262097.41</x:v>
      </x:c>
    </x:row>
    <x:row r="21" ht="23" customHeight="1">
      <x:c r="A21" s="1"/>
      <x:c r="B21" s="1"/>
      <x:c r="C21" s="1" t="str">
        <x:v>Parks and Recreation</x:v>
      </x:c>
      <x:c r="D21" s="1" t="str">
        <x:v>Materials</x:v>
      </x:c>
      <x:c r="E21" s="1" t="str">
        <x:v>Expense</x:v>
      </x:c>
      <x:c r="F21" s="27" t="n">
        <x:f>IF(COUNTIFS('Monthly data'!$B$2:$B$361,2026,'Monthly data'!$C$2:$C$361,$C21,'Monthly data'!$D$2:$D$361,$D21)=12,SUMIFS('Monthly data'!$G$2:$G$361,'Monthly data'!$B$2:$B$361,2026,'Monthly data'!$C$2:$C$361,$C21,'Monthly data'!$D$2:$D$361,$D21),NA())</x:f>
        <x:v>405999.9999999999</x:v>
      </x:c>
      <x:c r="G21" s="27" t="n">
        <x:f>IF(AND(ISNUMBER('Assumptions'!E25),'Assumptions'!E25&gt;=-1),INT((ROUND(F21*100,0)*(1000000+ROUND('Assumptions'!E25*1000000,0))+500000)/1000000)/100,NA())</x:f>
        <x:v>418180</x:v>
      </x:c>
      <x:c r="H21" s="27" t="n">
        <x:f>IF(AND(ISNUMBER('Assumptions'!F25),'Assumptions'!F25&gt;=-1),INT((ROUND(G21*100,0)*(1000000+ROUND('Assumptions'!F25*1000000,0))+500000)/1000000)/100,NA())</x:f>
        <x:v>430725.4</x:v>
      </x:c>
      <x:c r="I21" s="27" t="n">
        <x:f>IF(AND(ISNUMBER('Assumptions'!G25),'Assumptions'!G25&gt;=-1),INT((ROUND(H21*100,0)*(1000000+ROUND('Assumptions'!G25*1000000,0))+500000)/1000000)/100,NA())</x:f>
        <x:v>443647.16</x:v>
      </x:c>
      <x:c r="J21" s="27" t="n">
        <x:f>IF(AND(ISNUMBER('Assumptions'!H25),'Assumptions'!H25&gt;=-1),INT((ROUND(I21*100,0)*(1000000+ROUND('Assumptions'!H25*1000000,0))+500000)/1000000)/100,NA())</x:f>
        <x:v>456956.57</x:v>
      </x:c>
      <x:c r="K21" s="27" t="n">
        <x:f>IF(AND(ISNUMBER('Assumptions'!I25),'Assumptions'!I25&gt;=-1),INT((ROUND(J21*100,0)*(1000000+ROUND('Assumptions'!I25*1000000,0))+500000)/1000000)/100,NA())</x:f>
        <x:v>470665.27</x:v>
      </x:c>
      <x:c r="L21" s="28" t="n">
        <x:f>SUM(H21:I21)</x:f>
        <x:v>874372.56</x:v>
      </x:c>
    </x:row>
    <x:row r="22" ht="23" customHeight="1">
      <x:c r="A22" s="1"/>
      <x:c r="B22" s="1"/>
      <x:c r="C22" s="1"/>
      <x:c r="D22" s="1"/>
      <x:c r="E22" s="1"/>
      <x:c r="F22" s="29"/>
      <x:c r="G22" s="29"/>
      <x:c r="H22" s="29"/>
      <x:c r="I22" s="29"/>
      <x:c r="J22" s="29"/>
      <x:c r="K22" s="29"/>
      <x:c r="L22" s="29"/>
    </x:row>
    <x:row r="23" ht="23" customHeight="1">
      <x:c r="A23" s="1"/>
      <x:c r="B23" s="1"/>
      <x:c r="C23" s="1"/>
      <x:c r="D23" s="1"/>
      <x:c r="E23" s="1"/>
      <x:c r="F23" s="29"/>
      <x:c r="G23" s="29"/>
      <x:c r="H23" s="29"/>
      <x:c r="I23" s="29"/>
      <x:c r="J23" s="29"/>
      <x:c r="K23" s="29"/>
      <x:c r="L23" s="29"/>
    </x:row>
    <x:row r="24" ht="23" customHeight="1">
      <x:c r="A24" s="1"/>
      <x:c r="B24" s="1"/>
      <x:c r="C24" s="1"/>
      <x:c r="D24" s="1"/>
      <x:c r="E24" s="1"/>
      <x:c r="F24" s="29"/>
      <x:c r="G24" s="29"/>
      <x:c r="H24" s="29"/>
      <x:c r="I24" s="29"/>
      <x:c r="J24" s="29"/>
      <x:c r="K24" s="29"/>
      <x:c r="L24" s="29"/>
    </x:row>
    <x:row r="25" ht="23" customHeight="1">
      <x:c r="A25" s="1"/>
      <x:c r="B25" s="1"/>
      <x:c r="C25" s="18" t="str">
        <x:v>Total funding</x:v>
      </x:c>
      <x:c r="D25" s="18"/>
      <x:c r="E25" s="18"/>
      <x:c r="F25" s="31" t="n">
        <x:f>SUMIFS(F$7:F$21,$E$7:$E$21,"Funding")</x:f>
        <x:v>7473000</x:v>
      </x:c>
      <x:c r="G25" s="31" t="n">
        <x:f>SUMIFS(G$7:G$21,$E$7:$E$21,"Funding")</x:f>
        <x:v>7668232.5</x:v>
      </x:c>
      <x:c r="H25" s="31" t="n">
        <x:f>SUMIFS(H$7:H$21,$E$7:$E$21,"Funding")</x:f>
        <x:v>7868598.04</x:v>
      </x:c>
      <x:c r="I25" s="31" t="n">
        <x:f>SUMIFS(I$7:I$21,$E$7:$E$21,"Funding")</x:f>
        <x:v>8074232.5</x:v>
      </x:c>
      <x:c r="J25" s="31" t="n">
        <x:f>SUMIFS(J$7:J$21,$E$7:$E$21,"Funding")</x:f>
        <x:v>8285275.41</x:v>
      </x:c>
      <x:c r="K25" s="31" t="n">
        <x:f>SUMIFS(K$7:K$21,$E$7:$E$21,"Funding")</x:f>
        <x:v>8501870</x:v>
      </x:c>
      <x:c r="L25" s="31" t="n">
        <x:f>SUMIFS(L$7:L$21,$E$7:$E$21,"Funding")</x:f>
        <x:v>15942830.54</x:v>
      </x:c>
    </x:row>
    <x:row r="26" ht="23" customHeight="1">
      <x:c r="A26" s="1"/>
      <x:c r="B26" s="1"/>
      <x:c r="C26" s="18" t="str">
        <x:v>Total operating expense</x:v>
      </x:c>
      <x:c r="D26" s="18"/>
      <x:c r="E26" s="18"/>
      <x:c r="F26" s="31" t="n">
        <x:f>SUMIFS(F$7:F$21,$E$7:$E$21,"Expense")</x:f>
        <x:v>7545050</x:v>
      </x:c>
      <x:c r="G26" s="31" t="n">
        <x:f>SUMIFS(G$7:G$21,$E$7:$E$21,"Expense")</x:f>
        <x:v>7861979.5</x:v>
      </x:c>
      <x:c r="H26" s="31" t="n">
        <x:f>SUMIFS(H$7:H$21,$E$7:$E$21,"Expense")</x:f>
        <x:v>8192400.400000001</x:v>
      </x:c>
      <x:c r="I26" s="31" t="n">
        <x:f>SUMIFS(I$7:I$21,$E$7:$E$21,"Expense")</x:f>
        <x:v>8536892.989999998</x:v>
      </x:c>
      <x:c r="J26" s="31" t="n">
        <x:f>SUMIFS(J$7:J$21,$E$7:$E$21,"Expense")</x:f>
        <x:v>8896062.750000002</x:v>
      </x:c>
      <x:c r="K26" s="31" t="n">
        <x:f>SUMIFS(K$7:K$21,$E$7:$E$21,"Expense")</x:f>
        <x:v>9270541.399999999</x:v>
      </x:c>
      <x:c r="L26" s="31" t="n">
        <x:f>SUMIFS(L$7:L$21,$E$7:$E$21,"Expense")</x:f>
        <x:v>16729293.389999999</x:v>
      </x:c>
    </x:row>
    <x:row r="27" ht="23" customHeight="1">
      <x:c r="A27" s="1"/>
      <x:c r="B27" s="1"/>
      <x:c r="C27" s="18" t="str">
        <x:v>Funding less expense</x:v>
      </x:c>
      <x:c r="D27" s="18"/>
      <x:c r="E27" s="18"/>
      <x:c r="F27" s="31" t="n">
        <x:f>F25-F26</x:f>
        <x:v>-72050</x:v>
      </x:c>
      <x:c r="G27" s="31" t="n">
        <x:f>G25-G26</x:f>
        <x:v>-193747</x:v>
      </x:c>
      <x:c r="H27" s="31" t="n">
        <x:f>H25-H26</x:f>
        <x:v>-323802.36000000127</x:v>
      </x:c>
      <x:c r="I27" s="31" t="n">
        <x:f>I25-I26</x:f>
        <x:v>-462660.48999999836</x:v>
      </x:c>
      <x:c r="J27" s="31" t="n">
        <x:f>J25-J26</x:f>
        <x:v>-610787.3400000017</x:v>
      </x:c>
      <x:c r="K27" s="31" t="n">
        <x:f>K25-K26</x:f>
        <x:v>-768671.3999999985</x:v>
      </x:c>
      <x:c r="L27" s="31" t="n">
        <x:f>L25-L26</x:f>
        <x:v>-786462.8499999996</x:v>
      </x:c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 t="str">
        <x:v>FY 2027–29 includes FY 2027-28 and FY 2028-29.</x:v>
      </x:c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 t="str">
        <x:v>Growth uses integer cents and rates rounded to one part per million.</x:v>
      </x:c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</x:sheetData>
  <x:conditionalFormatting sqref="F27:L27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29" hidden="0" customWidth="1"/>
    <x:col min="4" max="4" width="29" hidden="0" customWidth="1"/>
    <x:col min="5" max="5" width="16" hidden="0" customWidth="1"/>
    <x:col min="6" max="6" width="16" hidden="0" customWidth="1"/>
    <x:col min="7" max="7" width="16" hidden="0" customWidth="1"/>
    <x:col min="9" max="9" width="80" hidden="0" customWidth="1"/>
  </x:cols>
  <x:sheetData>
    <x:row r="1" ht="30" customHeight="1">
      <x:c r="A1" s="10" t="str">
        <x:v>Month start</x:v>
      </x:c>
      <x:c r="B1" s="10" t="str">
        <x:v>FY ending</x:v>
      </x:c>
      <x:c r="C1" s="10" t="str">
        <x:v>Department</x:v>
      </x:c>
      <x:c r="D1" s="10" t="str">
        <x:v>Account</x:v>
      </x:c>
      <x:c r="E1" s="10" t="str">
        <x:v>Type</x:v>
      </x:c>
      <x:c r="F1" s="10" t="str">
        <x:v>Budget (USD)</x:v>
      </x:c>
      <x:c r="G1" s="10" t="str">
        <x:v>Actual (USD)</x:v>
      </x:c>
      <x:c r="I1" t="str">
        <x:v>Source and basis</x:v>
      </x:c>
    </x:row>
    <x:row r="2" ht="21" customHeight="1">
      <x:c r="A2" s="2" t="d">
        <x:v>2024-07-01T00:00:00.000Z</x:v>
      </x:c>
      <x:c r="B2" s="5" t="n">
        <x:v>2025</x:v>
      </x:c>
      <x:c r="C2" s="1" t="str">
        <x:v>Finance</x:v>
      </x:c>
      <x:c r="D2" s="1" t="str">
        <x:v>Assigned operating support</x:v>
      </x:c>
      <x:c r="E2" s="1" t="str">
        <x:v>Funding</x:v>
      </x:c>
      <x:c r="F2" s="4" t="n">
        <x:v>76000</x:v>
      </x:c>
      <x:c r="G2" s="4" t="n">
        <x:v>75853.29</x:v>
      </x:c>
      <x:c r="I2" t="str">
        <x:v>Synthetic data from scripts/rebuild.py; generator seed 407409.</x:v>
      </x:c>
    </x:row>
    <x:row r="3" ht="21" customHeight="1">
      <x:c r="A3" s="2" t="d">
        <x:v>2024-08-01T00:00:00.000Z</x:v>
      </x:c>
      <x:c r="B3" s="5" t="n">
        <x:v>2025</x:v>
      </x:c>
      <x:c r="C3" s="1" t="str">
        <x:v>Finance</x:v>
      </x:c>
      <x:c r="D3" s="1" t="str">
        <x:v>Assigned operating support</x:v>
      </x:c>
      <x:c r="E3" s="1" t="str">
        <x:v>Funding</x:v>
      </x:c>
      <x:c r="F3" s="4" t="n">
        <x:v>76000</x:v>
      </x:c>
      <x:c r="G3" s="4" t="n">
        <x:v>77781.45</x:v>
      </x:c>
      <x:c r="I3" t="str">
        <x:v>No City of Alameda financial records or course answer files were used.</x:v>
      </x:c>
    </x:row>
    <x:row r="4" ht="21" customHeight="1">
      <x:c r="A4" s="2" t="d">
        <x:v>2024-09-01T00:00:00.000Z</x:v>
      </x:c>
      <x:c r="B4" s="5" t="n">
        <x:v>2025</x:v>
      </x:c>
      <x:c r="C4" s="1" t="str">
        <x:v>Finance</x:v>
      </x:c>
      <x:c r="D4" s="1" t="str">
        <x:v>Assigned operating support</x:v>
      </x:c>
      <x:c r="E4" s="1" t="str">
        <x:v>Funding</x:v>
      </x:c>
      <x:c r="F4" s="4" t="n">
        <x:v>76000</x:v>
      </x:c>
      <x:c r="G4" s="4" t="n">
        <x:v>76889.55</x:v>
      </x:c>
      <x:c r="I4" t="str">
        <x:v>July–June fiscal convention; fiscal year shown by ending year.</x:v>
      </x:c>
    </x:row>
    <x:row r="5" ht="21" customHeight="1">
      <x:c r="A5" s="2" t="d">
        <x:v>2024-10-01T00:00:00.000Z</x:v>
      </x:c>
      <x:c r="B5" s="5" t="n">
        <x:v>2025</x:v>
      </x:c>
      <x:c r="C5" s="1" t="str">
        <x:v>Finance</x:v>
      </x:c>
      <x:c r="D5" s="1" t="str">
        <x:v>Assigned operating support</x:v>
      </x:c>
      <x:c r="E5" s="1" t="str">
        <x:v>Funding</x:v>
      </x:c>
      <x:c r="F5" s="4" t="n">
        <x:v>76000</x:v>
      </x:c>
      <x:c r="G5" s="4" t="n">
        <x:v>77518.78</x:v>
      </x:c>
      <x:c r="I5" t="str">
        <x:v>Assigned support is scope-level funding, not consolidated city revenue.</x:v>
      </x:c>
    </x:row>
    <x:row r="6" ht="21" customHeight="1">
      <x:c r="A6" s="2" t="d">
        <x:v>2024-11-01T00:00:00.000Z</x:v>
      </x:c>
      <x:c r="B6" s="5" t="n">
        <x:v>2025</x:v>
      </x:c>
      <x:c r="C6" s="1" t="str">
        <x:v>Finance</x:v>
      </x:c>
      <x:c r="D6" s="1" t="str">
        <x:v>Assigned operating support</x:v>
      </x:c>
      <x:c r="E6" s="1" t="str">
        <x:v>Funding</x:v>
      </x:c>
      <x:c r="F6" s="4" t="n">
        <x:v>76000</x:v>
      </x:c>
      <x:c r="G6" s="4" t="n">
        <x:v>77190.85</x:v>
      </x:c>
    </x:row>
    <x:row r="7" ht="21" customHeight="1">
      <x:c r="A7" s="2" t="d">
        <x:v>2024-12-01T00:00:00.000Z</x:v>
      </x:c>
      <x:c r="B7" s="5" t="n">
        <x:v>2025</x:v>
      </x:c>
      <x:c r="C7" s="1" t="str">
        <x:v>Finance</x:v>
      </x:c>
      <x:c r="D7" s="1" t="str">
        <x:v>Assigned operating support</x:v>
      </x:c>
      <x:c r="E7" s="1" t="str">
        <x:v>Funding</x:v>
      </x:c>
      <x:c r="F7" s="4" t="n">
        <x:v>76000</x:v>
      </x:c>
      <x:c r="G7" s="4" t="n">
        <x:v>75664.73</x:v>
      </x:c>
    </x:row>
    <x:row r="8" ht="21" customHeight="1">
      <x:c r="A8" s="2" t="d">
        <x:v>2025-01-01T00:00:00.000Z</x:v>
      </x:c>
      <x:c r="B8" s="5" t="n">
        <x:v>2025</x:v>
      </x:c>
      <x:c r="C8" s="1" t="str">
        <x:v>Finance</x:v>
      </x:c>
      <x:c r="D8" s="1" t="str">
        <x:v>Assigned operating support</x:v>
      </x:c>
      <x:c r="E8" s="1" t="str">
        <x:v>Funding</x:v>
      </x:c>
      <x:c r="F8" s="4" t="n">
        <x:v>76000</x:v>
      </x:c>
      <x:c r="G8" s="4" t="n">
        <x:v>77230.23</x:v>
      </x:c>
    </x:row>
    <x:row r="9" ht="21" customHeight="1">
      <x:c r="A9" s="2" t="d">
        <x:v>2025-02-01T00:00:00.000Z</x:v>
      </x:c>
      <x:c r="B9" s="5" t="n">
        <x:v>2025</x:v>
      </x:c>
      <x:c r="C9" s="1" t="str">
        <x:v>Finance</x:v>
      </x:c>
      <x:c r="D9" s="1" t="str">
        <x:v>Assigned operating support</x:v>
      </x:c>
      <x:c r="E9" s="1" t="str">
        <x:v>Funding</x:v>
      </x:c>
      <x:c r="F9" s="4" t="n">
        <x:v>76000</x:v>
      </x:c>
      <x:c r="G9" s="4" t="n">
        <x:v>73808.23</x:v>
      </x:c>
    </x:row>
    <x:row r="10" ht="21" customHeight="1">
      <x:c r="A10" s="2" t="d">
        <x:v>2025-03-01T00:00:00.000Z</x:v>
      </x:c>
      <x:c r="B10" s="5" t="n">
        <x:v>2025</x:v>
      </x:c>
      <x:c r="C10" s="1" t="str">
        <x:v>Finance</x:v>
      </x:c>
      <x:c r="D10" s="1" t="str">
        <x:v>Assigned operating support</x:v>
      </x:c>
      <x:c r="E10" s="1" t="str">
        <x:v>Funding</x:v>
      </x:c>
      <x:c r="F10" s="4" t="n">
        <x:v>76000</x:v>
      </x:c>
      <x:c r="G10" s="4" t="n">
        <x:v>77943.68</x:v>
      </x:c>
    </x:row>
    <x:row r="11" ht="21" customHeight="1">
      <x:c r="A11" s="2" t="d">
        <x:v>2025-04-01T00:00:00.000Z</x:v>
      </x:c>
      <x:c r="B11" s="5" t="n">
        <x:v>2025</x:v>
      </x:c>
      <x:c r="C11" s="1" t="str">
        <x:v>Finance</x:v>
      </x:c>
      <x:c r="D11" s="1" t="str">
        <x:v>Assigned operating support</x:v>
      </x:c>
      <x:c r="E11" s="1" t="str">
        <x:v>Funding</x:v>
      </x:c>
      <x:c r="F11" s="4" t="n">
        <x:v>76000</x:v>
      </x:c>
      <x:c r="G11" s="4" t="n">
        <x:v>78325.42</x:v>
      </x:c>
    </x:row>
    <x:row r="12" ht="21" customHeight="1">
      <x:c r="A12" s="2" t="d">
        <x:v>2025-05-01T00:00:00.000Z</x:v>
      </x:c>
      <x:c r="B12" s="5" t="n">
        <x:v>2025</x:v>
      </x:c>
      <x:c r="C12" s="1" t="str">
        <x:v>Finance</x:v>
      </x:c>
      <x:c r="D12" s="1" t="str">
        <x:v>Assigned operating support</x:v>
      </x:c>
      <x:c r="E12" s="1" t="str">
        <x:v>Funding</x:v>
      </x:c>
      <x:c r="F12" s="4" t="n">
        <x:v>76000</x:v>
      </x:c>
      <x:c r="G12" s="4" t="n">
        <x:v>72452.58</x:v>
      </x:c>
    </x:row>
    <x:row r="13" ht="21" customHeight="1">
      <x:c r="A13" s="2" t="d">
        <x:v>2025-06-01T00:00:00.000Z</x:v>
      </x:c>
      <x:c r="B13" s="5" t="n">
        <x:v>2025</x:v>
      </x:c>
      <x:c r="C13" s="1" t="str">
        <x:v>Finance</x:v>
      </x:c>
      <x:c r="D13" s="1" t="str">
        <x:v>Assigned operating support</x:v>
      </x:c>
      <x:c r="E13" s="1" t="str">
        <x:v>Funding</x:v>
      </x:c>
      <x:c r="F13" s="4" t="n">
        <x:v>76000</x:v>
      </x:c>
      <x:c r="G13" s="4" t="n">
        <x:v>75901.21</x:v>
      </x:c>
    </x:row>
    <x:row r="14" ht="21" customHeight="1">
      <x:c r="A14" s="2" t="d">
        <x:v>2024-07-01T00:00:00.000Z</x:v>
      </x:c>
      <x:c r="B14" s="5" t="n">
        <x:v>2025</x:v>
      </x:c>
      <x:c r="C14" s="1" t="str">
        <x:v>Finance</x:v>
      </x:c>
      <x:c r="D14" s="1" t="str">
        <x:v>Service fees</x:v>
      </x:c>
      <x:c r="E14" s="1" t="str">
        <x:v>Funding</x:v>
      </x:c>
      <x:c r="F14" s="4" t="n">
        <x:v>15600</x:v>
      </x:c>
      <x:c r="G14" s="4" t="n">
        <x:v>15354.11</x:v>
      </x:c>
    </x:row>
    <x:row r="15" ht="21" customHeight="1">
      <x:c r="A15" s="2" t="d">
        <x:v>2024-08-01T00:00:00.000Z</x:v>
      </x:c>
      <x:c r="B15" s="5" t="n">
        <x:v>2025</x:v>
      </x:c>
      <x:c r="C15" s="1" t="str">
        <x:v>Finance</x:v>
      </x:c>
      <x:c r="D15" s="1" t="str">
        <x:v>Service fees</x:v>
      </x:c>
      <x:c r="E15" s="1" t="str">
        <x:v>Funding</x:v>
      </x:c>
      <x:c r="F15" s="4" t="n">
        <x:v>15600</x:v>
      </x:c>
      <x:c r="G15" s="4" t="n">
        <x:v>15632.99</x:v>
      </x:c>
    </x:row>
    <x:row r="16" ht="21" customHeight="1">
      <x:c r="A16" s="2" t="d">
        <x:v>2024-09-01T00:00:00.000Z</x:v>
      </x:c>
      <x:c r="B16" s="5" t="n">
        <x:v>2025</x:v>
      </x:c>
      <x:c r="C16" s="1" t="str">
        <x:v>Finance</x:v>
      </x:c>
      <x:c r="D16" s="1" t="str">
        <x:v>Service fees</x:v>
      </x:c>
      <x:c r="E16" s="1" t="str">
        <x:v>Funding</x:v>
      </x:c>
      <x:c r="F16" s="4" t="n">
        <x:v>13200</x:v>
      </x:c>
      <x:c r="G16" s="4" t="n">
        <x:v>13008.61</x:v>
      </x:c>
    </x:row>
    <x:row r="17" ht="21" customHeight="1">
      <x:c r="A17" s="2" t="d">
        <x:v>2024-10-01T00:00:00.000Z</x:v>
      </x:c>
      <x:c r="B17" s="5" t="n">
        <x:v>2025</x:v>
      </x:c>
      <x:c r="C17" s="1" t="str">
        <x:v>Finance</x:v>
      </x:c>
      <x:c r="D17" s="1" t="str">
        <x:v>Service fees</x:v>
      </x:c>
      <x:c r="E17" s="1" t="str">
        <x:v>Funding</x:v>
      </x:c>
      <x:c r="F17" s="4" t="n">
        <x:v>10800</x:v>
      </x:c>
      <x:c r="G17" s="4" t="n">
        <x:v>10928.67</x:v>
      </x:c>
    </x:row>
    <x:row r="18" ht="21" customHeight="1">
      <x:c r="A18" s="2" t="d">
        <x:v>2024-11-01T00:00:00.000Z</x:v>
      </x:c>
      <x:c r="B18" s="5" t="n">
        <x:v>2025</x:v>
      </x:c>
      <x:c r="C18" s="1" t="str">
        <x:v>Finance</x:v>
      </x:c>
      <x:c r="D18" s="1" t="str">
        <x:v>Service fees</x:v>
      </x:c>
      <x:c r="E18" s="1" t="str">
        <x:v>Funding</x:v>
      </x:c>
      <x:c r="F18" s="4" t="n">
        <x:v>10200</x:v>
      </x:c>
      <x:c r="G18" s="4" t="n">
        <x:v>10028.52</x:v>
      </x:c>
    </x:row>
    <x:row r="19" ht="21" customHeight="1">
      <x:c r="A19" s="2" t="d">
        <x:v>2024-12-01T00:00:00.000Z</x:v>
      </x:c>
      <x:c r="B19" s="5" t="n">
        <x:v>2025</x:v>
      </x:c>
      <x:c r="C19" s="1" t="str">
        <x:v>Finance</x:v>
      </x:c>
      <x:c r="D19" s="1" t="str">
        <x:v>Service fees</x:v>
      </x:c>
      <x:c r="E19" s="1" t="str">
        <x:v>Funding</x:v>
      </x:c>
      <x:c r="F19" s="4" t="n">
        <x:v>9600</x:v>
      </x:c>
      <x:c r="G19" s="4" t="n">
        <x:v>9409.36</x:v>
      </x:c>
    </x:row>
    <x:row r="20" ht="21" customHeight="1">
      <x:c r="A20" s="2" t="d">
        <x:v>2025-01-01T00:00:00.000Z</x:v>
      </x:c>
      <x:c r="B20" s="5" t="n">
        <x:v>2025</x:v>
      </x:c>
      <x:c r="C20" s="1" t="str">
        <x:v>Finance</x:v>
      </x:c>
      <x:c r="D20" s="1" t="str">
        <x:v>Service fees</x:v>
      </x:c>
      <x:c r="E20" s="1" t="str">
        <x:v>Funding</x:v>
      </x:c>
      <x:c r="F20" s="4" t="n">
        <x:v>9600</x:v>
      </x:c>
      <x:c r="G20" s="4" t="n">
        <x:v>10056.57</x:v>
      </x:c>
    </x:row>
    <x:row r="21" ht="21" customHeight="1">
      <x:c r="A21" s="2" t="d">
        <x:v>2025-02-01T00:00:00.000Z</x:v>
      </x:c>
      <x:c r="B21" s="5" t="n">
        <x:v>2025</x:v>
      </x:c>
      <x:c r="C21" s="1" t="str">
        <x:v>Finance</x:v>
      </x:c>
      <x:c r="D21" s="1" t="str">
        <x:v>Service fees</x:v>
      </x:c>
      <x:c r="E21" s="1" t="str">
        <x:v>Funding</x:v>
      </x:c>
      <x:c r="F21" s="4" t="n">
        <x:v>10200</x:v>
      </x:c>
      <x:c r="G21" s="4" t="n">
        <x:v>10237.37</x:v>
      </x:c>
    </x:row>
    <x:row r="22" ht="21" customHeight="1">
      <x:c r="A22" s="2" t="d">
        <x:v>2025-03-01T00:00:00.000Z</x:v>
      </x:c>
      <x:c r="B22" s="5" t="n">
        <x:v>2025</x:v>
      </x:c>
      <x:c r="C22" s="1" t="str">
        <x:v>Finance</x:v>
      </x:c>
      <x:c r="D22" s="1" t="str">
        <x:v>Service fees</x:v>
      </x:c>
      <x:c r="E22" s="1" t="str">
        <x:v>Funding</x:v>
      </x:c>
      <x:c r="F22" s="4" t="n">
        <x:v>11400</x:v>
      </x:c>
      <x:c r="G22" s="4" t="n">
        <x:v>11658.32</x:v>
      </x:c>
    </x:row>
    <x:row r="23" ht="21" customHeight="1">
      <x:c r="A23" s="2" t="d">
        <x:v>2025-04-01T00:00:00.000Z</x:v>
      </x:c>
      <x:c r="B23" s="5" t="n">
        <x:v>2025</x:v>
      </x:c>
      <x:c r="C23" s="1" t="str">
        <x:v>Finance</x:v>
      </x:c>
      <x:c r="D23" s="1" t="str">
        <x:v>Service fees</x:v>
      </x:c>
      <x:c r="E23" s="1" t="str">
        <x:v>Funding</x:v>
      </x:c>
      <x:c r="F23" s="4" t="n">
        <x:v>12000</x:v>
      </x:c>
      <x:c r="G23" s="4" t="n">
        <x:v>12026.65</x:v>
      </x:c>
    </x:row>
    <x:row r="24" ht="21" customHeight="1">
      <x:c r="A24" s="2" t="d">
        <x:v>2025-05-01T00:00:00.000Z</x:v>
      </x:c>
      <x:c r="B24" s="5" t="n">
        <x:v>2025</x:v>
      </x:c>
      <x:c r="C24" s="1" t="str">
        <x:v>Finance</x:v>
      </x:c>
      <x:c r="D24" s="1" t="str">
        <x:v>Service fees</x:v>
      </x:c>
      <x:c r="E24" s="1" t="str">
        <x:v>Funding</x:v>
      </x:c>
      <x:c r="F24" s="4" t="n">
        <x:v>12600</x:v>
      </x:c>
      <x:c r="G24" s="4" t="n">
        <x:v>13181.76</x:v>
      </x:c>
    </x:row>
    <x:row r="25" ht="21" customHeight="1">
      <x:c r="A25" s="2" t="d">
        <x:v>2025-06-01T00:00:00.000Z</x:v>
      </x:c>
      <x:c r="B25" s="5" t="n">
        <x:v>2025</x:v>
      </x:c>
      <x:c r="C25" s="1" t="str">
        <x:v>Finance</x:v>
      </x:c>
      <x:c r="D25" s="1" t="str">
        <x:v>Service fees</x:v>
      </x:c>
      <x:c r="E25" s="1" t="str">
        <x:v>Funding</x:v>
      </x:c>
      <x:c r="F25" s="4" t="n">
        <x:v>13200</x:v>
      </x:c>
      <x:c r="G25" s="4" t="n">
        <x:v>13197.07</x:v>
      </x:c>
    </x:row>
    <x:row r="26" ht="21" customHeight="1">
      <x:c r="A26" s="2" t="d">
        <x:v>2024-07-01T00:00:00.000Z</x:v>
      </x:c>
      <x:c r="B26" s="5" t="n">
        <x:v>2025</x:v>
      </x:c>
      <x:c r="C26" s="1" t="str">
        <x:v>Finance</x:v>
      </x:c>
      <x:c r="D26" s="1" t="str">
        <x:v>Personnel</x:v>
      </x:c>
      <x:c r="E26" s="1" t="str">
        <x:v>Expense</x:v>
      </x:c>
      <x:c r="F26" s="4" t="n">
        <x:v>57600</x:v>
      </x:c>
      <x:c r="G26" s="4" t="n">
        <x:v>58876.89</x:v>
      </x:c>
    </x:row>
    <x:row r="27" ht="21" customHeight="1">
      <x:c r="A27" s="2" t="d">
        <x:v>2024-08-01T00:00:00.000Z</x:v>
      </x:c>
      <x:c r="B27" s="5" t="n">
        <x:v>2025</x:v>
      </x:c>
      <x:c r="C27" s="1" t="str">
        <x:v>Finance</x:v>
      </x:c>
      <x:c r="D27" s="1" t="str">
        <x:v>Personnel</x:v>
      </x:c>
      <x:c r="E27" s="1" t="str">
        <x:v>Expense</x:v>
      </x:c>
      <x:c r="F27" s="4" t="n">
        <x:v>57600</x:v>
      </x:c>
      <x:c r="G27" s="4" t="n">
        <x:v>59904.93</x:v>
      </x:c>
    </x:row>
    <x:row r="28" ht="21" customHeight="1">
      <x:c r="A28" s="2" t="d">
        <x:v>2024-09-01T00:00:00.000Z</x:v>
      </x:c>
      <x:c r="B28" s="5" t="n">
        <x:v>2025</x:v>
      </x:c>
      <x:c r="C28" s="1" t="str">
        <x:v>Finance</x:v>
      </x:c>
      <x:c r="D28" s="1" t="str">
        <x:v>Personnel</x:v>
      </x:c>
      <x:c r="E28" s="1" t="str">
        <x:v>Expense</x:v>
      </x:c>
      <x:c r="F28" s="4" t="n">
        <x:v>57600</x:v>
      </x:c>
      <x:c r="G28" s="4" t="n">
        <x:v>56993.77</x:v>
      </x:c>
    </x:row>
    <x:row r="29" ht="21" customHeight="1">
      <x:c r="A29" s="2" t="d">
        <x:v>2024-10-01T00:00:00.000Z</x:v>
      </x:c>
      <x:c r="B29" s="5" t="n">
        <x:v>2025</x:v>
      </x:c>
      <x:c r="C29" s="1" t="str">
        <x:v>Finance</x:v>
      </x:c>
      <x:c r="D29" s="1" t="str">
        <x:v>Personnel</x:v>
      </x:c>
      <x:c r="E29" s="1" t="str">
        <x:v>Expense</x:v>
      </x:c>
      <x:c r="F29" s="4" t="n">
        <x:v>57600</x:v>
      </x:c>
      <x:c r="G29" s="4" t="n">
        <x:v>58146.12</x:v>
      </x:c>
    </x:row>
    <x:row r="30" ht="21" customHeight="1">
      <x:c r="A30" s="2" t="d">
        <x:v>2024-11-01T00:00:00.000Z</x:v>
      </x:c>
      <x:c r="B30" s="5" t="n">
        <x:v>2025</x:v>
      </x:c>
      <x:c r="C30" s="1" t="str">
        <x:v>Finance</x:v>
      </x:c>
      <x:c r="D30" s="1" t="str">
        <x:v>Personnel</x:v>
      </x:c>
      <x:c r="E30" s="1" t="str">
        <x:v>Expense</x:v>
      </x:c>
      <x:c r="F30" s="4" t="n">
        <x:v>57600</x:v>
      </x:c>
      <x:c r="G30" s="4" t="n">
        <x:v>57125.12</x:v>
      </x:c>
    </x:row>
    <x:row r="31" ht="21" customHeight="1">
      <x:c r="A31" s="2" t="d">
        <x:v>2024-12-01T00:00:00.000Z</x:v>
      </x:c>
      <x:c r="B31" s="5" t="n">
        <x:v>2025</x:v>
      </x:c>
      <x:c r="C31" s="1" t="str">
        <x:v>Finance</x:v>
      </x:c>
      <x:c r="D31" s="1" t="str">
        <x:v>Personnel</x:v>
      </x:c>
      <x:c r="E31" s="1" t="str">
        <x:v>Expense</x:v>
      </x:c>
      <x:c r="F31" s="4" t="n">
        <x:v>57600</x:v>
      </x:c>
      <x:c r="G31" s="4" t="n">
        <x:v>57949.96</x:v>
      </x:c>
    </x:row>
    <x:row r="32" ht="21" customHeight="1">
      <x:c r="A32" s="2" t="d">
        <x:v>2025-01-01T00:00:00.000Z</x:v>
      </x:c>
      <x:c r="B32" s="5" t="n">
        <x:v>2025</x:v>
      </x:c>
      <x:c r="C32" s="1" t="str">
        <x:v>Finance</x:v>
      </x:c>
      <x:c r="D32" s="1" t="str">
        <x:v>Personnel</x:v>
      </x:c>
      <x:c r="E32" s="1" t="str">
        <x:v>Expense</x:v>
      </x:c>
      <x:c r="F32" s="4" t="n">
        <x:v>57600</x:v>
      </x:c>
      <x:c r="G32" s="4" t="n">
        <x:v>58214.69</x:v>
      </x:c>
    </x:row>
    <x:row r="33" ht="21" customHeight="1">
      <x:c r="A33" s="2" t="d">
        <x:v>2025-02-01T00:00:00.000Z</x:v>
      </x:c>
      <x:c r="B33" s="5" t="n">
        <x:v>2025</x:v>
      </x:c>
      <x:c r="C33" s="1" t="str">
        <x:v>Finance</x:v>
      </x:c>
      <x:c r="D33" s="1" t="str">
        <x:v>Personnel</x:v>
      </x:c>
      <x:c r="E33" s="1" t="str">
        <x:v>Expense</x:v>
      </x:c>
      <x:c r="F33" s="4" t="n">
        <x:v>57600</x:v>
      </x:c>
      <x:c r="G33" s="4" t="n">
        <x:v>57765.74</x:v>
      </x:c>
    </x:row>
    <x:row r="34" ht="21" customHeight="1">
      <x:c r="A34" s="2" t="d">
        <x:v>2025-03-01T00:00:00.000Z</x:v>
      </x:c>
      <x:c r="B34" s="5" t="n">
        <x:v>2025</x:v>
      </x:c>
      <x:c r="C34" s="1" t="str">
        <x:v>Finance</x:v>
      </x:c>
      <x:c r="D34" s="1" t="str">
        <x:v>Personnel</x:v>
      </x:c>
      <x:c r="E34" s="1" t="str">
        <x:v>Expense</x:v>
      </x:c>
      <x:c r="F34" s="4" t="n">
        <x:v>57600</x:v>
      </x:c>
      <x:c r="G34" s="4" t="n">
        <x:v>58771.59</x:v>
      </x:c>
    </x:row>
    <x:row r="35" ht="21" customHeight="1">
      <x:c r="A35" s="2" t="d">
        <x:v>2025-04-01T00:00:00.000Z</x:v>
      </x:c>
      <x:c r="B35" s="5" t="n">
        <x:v>2025</x:v>
      </x:c>
      <x:c r="C35" s="1" t="str">
        <x:v>Finance</x:v>
      </x:c>
      <x:c r="D35" s="1" t="str">
        <x:v>Personnel</x:v>
      </x:c>
      <x:c r="E35" s="1" t="str">
        <x:v>Expense</x:v>
      </x:c>
      <x:c r="F35" s="4" t="n">
        <x:v>57600</x:v>
      </x:c>
      <x:c r="G35" s="4" t="n">
        <x:v>55635.17</x:v>
      </x:c>
    </x:row>
    <x:row r="36" ht="21" customHeight="1">
      <x:c r="A36" s="2" t="d">
        <x:v>2025-05-01T00:00:00.000Z</x:v>
      </x:c>
      <x:c r="B36" s="5" t="n">
        <x:v>2025</x:v>
      </x:c>
      <x:c r="C36" s="1" t="str">
        <x:v>Finance</x:v>
      </x:c>
      <x:c r="D36" s="1" t="str">
        <x:v>Personnel</x:v>
      </x:c>
      <x:c r="E36" s="1" t="str">
        <x:v>Expense</x:v>
      </x:c>
      <x:c r="F36" s="4" t="n">
        <x:v>57600</x:v>
      </x:c>
      <x:c r="G36" s="4" t="n">
        <x:v>59221.55</x:v>
      </x:c>
    </x:row>
    <x:row r="37" ht="21" customHeight="1">
      <x:c r="A37" s="2" t="d">
        <x:v>2025-06-01T00:00:00.000Z</x:v>
      </x:c>
      <x:c r="B37" s="5" t="n">
        <x:v>2025</x:v>
      </x:c>
      <x:c r="C37" s="1" t="str">
        <x:v>Finance</x:v>
      </x:c>
      <x:c r="D37" s="1" t="str">
        <x:v>Personnel</x:v>
      </x:c>
      <x:c r="E37" s="1" t="str">
        <x:v>Expense</x:v>
      </x:c>
      <x:c r="F37" s="4" t="n">
        <x:v>57600</x:v>
      </x:c>
      <x:c r="G37" s="4" t="n">
        <x:v>56050.47</x:v>
      </x:c>
    </x:row>
    <x:row r="38" ht="21" customHeight="1">
      <x:c r="A38" s="2" t="d">
        <x:v>2024-07-01T00:00:00.000Z</x:v>
      </x:c>
      <x:c r="B38" s="5" t="n">
        <x:v>2025</x:v>
      </x:c>
      <x:c r="C38" s="1" t="str">
        <x:v>Finance</x:v>
      </x:c>
      <x:c r="D38" s="1" t="str">
        <x:v>Contract services</x:v>
      </x:c>
      <x:c r="E38" s="1" t="str">
        <x:v>Expense</x:v>
      </x:c>
      <x:c r="F38" s="4" t="n">
        <x:v>14400</x:v>
      </x:c>
      <x:c r="G38" s="4" t="n">
        <x:v>14580.62</x:v>
      </x:c>
    </x:row>
    <x:row r="39" ht="21" customHeight="1">
      <x:c r="A39" s="2" t="d">
        <x:v>2024-08-01T00:00:00.000Z</x:v>
      </x:c>
      <x:c r="B39" s="5" t="n">
        <x:v>2025</x:v>
      </x:c>
      <x:c r="C39" s="1" t="str">
        <x:v>Finance</x:v>
      </x:c>
      <x:c r="D39" s="1" t="str">
        <x:v>Contract services</x:v>
      </x:c>
      <x:c r="E39" s="1" t="str">
        <x:v>Expense</x:v>
      </x:c>
      <x:c r="F39" s="4" t="n">
        <x:v>14400</x:v>
      </x:c>
      <x:c r="G39" s="4" t="n">
        <x:v>14837.84</x:v>
      </x:c>
    </x:row>
    <x:row r="40" ht="21" customHeight="1">
      <x:c r="A40" s="2" t="d">
        <x:v>2024-09-01T00:00:00.000Z</x:v>
      </x:c>
      <x:c r="B40" s="5" t="n">
        <x:v>2025</x:v>
      </x:c>
      <x:c r="C40" s="1" t="str">
        <x:v>Finance</x:v>
      </x:c>
      <x:c r="D40" s="1" t="str">
        <x:v>Contract services</x:v>
      </x:c>
      <x:c r="E40" s="1" t="str">
        <x:v>Expense</x:v>
      </x:c>
      <x:c r="F40" s="4" t="n">
        <x:v>14400</x:v>
      </x:c>
      <x:c r="G40" s="4" t="n">
        <x:v>14305.6</x:v>
      </x:c>
    </x:row>
    <x:row r="41" ht="21" customHeight="1">
      <x:c r="A41" s="2" t="d">
        <x:v>2024-10-01T00:00:00.000Z</x:v>
      </x:c>
      <x:c r="B41" s="5" t="n">
        <x:v>2025</x:v>
      </x:c>
      <x:c r="C41" s="1" t="str">
        <x:v>Finance</x:v>
      </x:c>
      <x:c r="D41" s="1" t="str">
        <x:v>Contract services</x:v>
      </x:c>
      <x:c r="E41" s="1" t="str">
        <x:v>Expense</x:v>
      </x:c>
      <x:c r="F41" s="4" t="n">
        <x:v>14400</x:v>
      </x:c>
      <x:c r="G41" s="4" t="n">
        <x:v>14249.74</x:v>
      </x:c>
    </x:row>
    <x:row r="42" ht="21" customHeight="1">
      <x:c r="A42" s="2" t="d">
        <x:v>2024-11-01T00:00:00.000Z</x:v>
      </x:c>
      <x:c r="B42" s="5" t="n">
        <x:v>2025</x:v>
      </x:c>
      <x:c r="C42" s="1" t="str">
        <x:v>Finance</x:v>
      </x:c>
      <x:c r="D42" s="1" t="str">
        <x:v>Contract services</x:v>
      </x:c>
      <x:c r="E42" s="1" t="str">
        <x:v>Expense</x:v>
      </x:c>
      <x:c r="F42" s="4" t="n">
        <x:v>14400</x:v>
      </x:c>
      <x:c r="G42" s="4" t="n">
        <x:v>14439.47</x:v>
      </x:c>
    </x:row>
    <x:row r="43" ht="21" customHeight="1">
      <x:c r="A43" s="2" t="d">
        <x:v>2024-12-01T00:00:00.000Z</x:v>
      </x:c>
      <x:c r="B43" s="5" t="n">
        <x:v>2025</x:v>
      </x:c>
      <x:c r="C43" s="1" t="str">
        <x:v>Finance</x:v>
      </x:c>
      <x:c r="D43" s="1" t="str">
        <x:v>Contract services</x:v>
      </x:c>
      <x:c r="E43" s="1" t="str">
        <x:v>Expense</x:v>
      </x:c>
      <x:c r="F43" s="4" t="n">
        <x:v>14400</x:v>
      </x:c>
      <x:c r="G43" s="4" t="n">
        <x:v>14552.05</x:v>
      </x:c>
    </x:row>
    <x:row r="44" ht="21" customHeight="1">
      <x:c r="A44" s="2" t="d">
        <x:v>2025-01-01T00:00:00.000Z</x:v>
      </x:c>
      <x:c r="B44" s="5" t="n">
        <x:v>2025</x:v>
      </x:c>
      <x:c r="C44" s="1" t="str">
        <x:v>Finance</x:v>
      </x:c>
      <x:c r="D44" s="1" t="str">
        <x:v>Contract services</x:v>
      </x:c>
      <x:c r="E44" s="1" t="str">
        <x:v>Expense</x:v>
      </x:c>
      <x:c r="F44" s="4" t="n">
        <x:v>14400</x:v>
      </x:c>
      <x:c r="G44" s="4" t="n">
        <x:v>14449.85</x:v>
      </x:c>
    </x:row>
    <x:row r="45" ht="21" customHeight="1">
      <x:c r="A45" s="2" t="d">
        <x:v>2025-02-01T00:00:00.000Z</x:v>
      </x:c>
      <x:c r="B45" s="5" t="n">
        <x:v>2025</x:v>
      </x:c>
      <x:c r="C45" s="1" t="str">
        <x:v>Finance</x:v>
      </x:c>
      <x:c r="D45" s="1" t="str">
        <x:v>Contract services</x:v>
      </x:c>
      <x:c r="E45" s="1" t="str">
        <x:v>Expense</x:v>
      </x:c>
      <x:c r="F45" s="4" t="n">
        <x:v>14400</x:v>
      </x:c>
      <x:c r="G45" s="4" t="n">
        <x:v>13997.05</x:v>
      </x:c>
    </x:row>
    <x:row r="46" ht="21" customHeight="1">
      <x:c r="A46" s="2" t="d">
        <x:v>2025-03-01T00:00:00.000Z</x:v>
      </x:c>
      <x:c r="B46" s="5" t="n">
        <x:v>2025</x:v>
      </x:c>
      <x:c r="C46" s="1" t="str">
        <x:v>Finance</x:v>
      </x:c>
      <x:c r="D46" s="1" t="str">
        <x:v>Contract services</x:v>
      </x:c>
      <x:c r="E46" s="1" t="str">
        <x:v>Expense</x:v>
      </x:c>
      <x:c r="F46" s="4" t="n">
        <x:v>14400</x:v>
      </x:c>
      <x:c r="G46" s="4" t="n">
        <x:v>14626.55</x:v>
      </x:c>
    </x:row>
    <x:row r="47" ht="21" customHeight="1">
      <x:c r="A47" s="2" t="d">
        <x:v>2025-04-01T00:00:00.000Z</x:v>
      </x:c>
      <x:c r="B47" s="5" t="n">
        <x:v>2025</x:v>
      </x:c>
      <x:c r="C47" s="1" t="str">
        <x:v>Finance</x:v>
      </x:c>
      <x:c r="D47" s="1" t="str">
        <x:v>Contract services</x:v>
      </x:c>
      <x:c r="E47" s="1" t="str">
        <x:v>Expense</x:v>
      </x:c>
      <x:c r="F47" s="4" t="n">
        <x:v>14400</x:v>
      </x:c>
      <x:c r="G47" s="4" t="n">
        <x:v>14104.77</x:v>
      </x:c>
    </x:row>
    <x:row r="48" ht="21" customHeight="1">
      <x:c r="A48" s="2" t="d">
        <x:v>2025-05-01T00:00:00.000Z</x:v>
      </x:c>
      <x:c r="B48" s="5" t="n">
        <x:v>2025</x:v>
      </x:c>
      <x:c r="C48" s="1" t="str">
        <x:v>Finance</x:v>
      </x:c>
      <x:c r="D48" s="1" t="str">
        <x:v>Contract services</x:v>
      </x:c>
      <x:c r="E48" s="1" t="str">
        <x:v>Expense</x:v>
      </x:c>
      <x:c r="F48" s="4" t="n">
        <x:v>14400</x:v>
      </x:c>
      <x:c r="G48" s="4" t="n">
        <x:v>14561.39</x:v>
      </x:c>
    </x:row>
    <x:row r="49" ht="21" customHeight="1">
      <x:c r="A49" s="2" t="d">
        <x:v>2025-06-01T00:00:00.000Z</x:v>
      </x:c>
      <x:c r="B49" s="5" t="n">
        <x:v>2025</x:v>
      </x:c>
      <x:c r="C49" s="1" t="str">
        <x:v>Finance</x:v>
      </x:c>
      <x:c r="D49" s="1" t="str">
        <x:v>Contract services</x:v>
      </x:c>
      <x:c r="E49" s="1" t="str">
        <x:v>Expense</x:v>
      </x:c>
      <x:c r="F49" s="4" t="n">
        <x:v>14400</x:v>
      </x:c>
      <x:c r="G49" s="4" t="n">
        <x:v>14959.07</x:v>
      </x:c>
    </x:row>
    <x:row r="50" ht="21" customHeight="1">
      <x:c r="A50" s="2" t="d">
        <x:v>2024-07-01T00:00:00.000Z</x:v>
      </x:c>
      <x:c r="B50" s="5" t="n">
        <x:v>2025</x:v>
      </x:c>
      <x:c r="C50" s="1" t="str">
        <x:v>Finance</x:v>
      </x:c>
      <x:c r="D50" s="1" t="str">
        <x:v>Materials</x:v>
      </x:c>
      <x:c r="E50" s="1" t="str">
        <x:v>Expense</x:v>
      </x:c>
      <x:c r="F50" s="4" t="n">
        <x:v>7280</x:v>
      </x:c>
      <x:c r="G50" s="4" t="n">
        <x:v>7163.47</x:v>
      </x:c>
    </x:row>
    <x:row r="51" ht="21" customHeight="1">
      <x:c r="A51" s="2" t="d">
        <x:v>2024-08-01T00:00:00.000Z</x:v>
      </x:c>
      <x:c r="B51" s="5" t="n">
        <x:v>2025</x:v>
      </x:c>
      <x:c r="C51" s="1" t="str">
        <x:v>Finance</x:v>
      </x:c>
      <x:c r="D51" s="1" t="str">
        <x:v>Materials</x:v>
      </x:c>
      <x:c r="E51" s="1" t="str">
        <x:v>Expense</x:v>
      </x:c>
      <x:c r="F51" s="4" t="n">
        <x:v>7280</x:v>
      </x:c>
      <x:c r="G51" s="4" t="n">
        <x:v>7483.02</x:v>
      </x:c>
    </x:row>
    <x:row r="52" ht="21" customHeight="1">
      <x:c r="A52" s="2" t="d">
        <x:v>2024-09-01T00:00:00.000Z</x:v>
      </x:c>
      <x:c r="B52" s="5" t="n">
        <x:v>2025</x:v>
      </x:c>
      <x:c r="C52" s="1" t="str">
        <x:v>Finance</x:v>
      </x:c>
      <x:c r="D52" s="1" t="str">
        <x:v>Materials</x:v>
      </x:c>
      <x:c r="E52" s="1" t="str">
        <x:v>Expense</x:v>
      </x:c>
      <x:c r="F52" s="4" t="n">
        <x:v>6160</x:v>
      </x:c>
      <x:c r="G52" s="4" t="n">
        <x:v>6199.33</x:v>
      </x:c>
    </x:row>
    <x:row r="53" ht="21" customHeight="1">
      <x:c r="A53" s="2" t="d">
        <x:v>2024-10-01T00:00:00.000Z</x:v>
      </x:c>
      <x:c r="B53" s="5" t="n">
        <x:v>2025</x:v>
      </x:c>
      <x:c r="C53" s="1" t="str">
        <x:v>Finance</x:v>
      </x:c>
      <x:c r="D53" s="1" t="str">
        <x:v>Materials</x:v>
      </x:c>
      <x:c r="E53" s="1" t="str">
        <x:v>Expense</x:v>
      </x:c>
      <x:c r="F53" s="4" t="n">
        <x:v>5040</x:v>
      </x:c>
      <x:c r="G53" s="4" t="n">
        <x:v>5093.17</x:v>
      </x:c>
    </x:row>
    <x:row r="54" ht="21" customHeight="1">
      <x:c r="A54" s="2" t="d">
        <x:v>2024-11-01T00:00:00.000Z</x:v>
      </x:c>
      <x:c r="B54" s="5" t="n">
        <x:v>2025</x:v>
      </x:c>
      <x:c r="C54" s="1" t="str">
        <x:v>Finance</x:v>
      </x:c>
      <x:c r="D54" s="1" t="str">
        <x:v>Materials</x:v>
      </x:c>
      <x:c r="E54" s="1" t="str">
        <x:v>Expense</x:v>
      </x:c>
      <x:c r="F54" s="4" t="n">
        <x:v>4760</x:v>
      </x:c>
      <x:c r="G54" s="4" t="n">
        <x:v>4853.38</x:v>
      </x:c>
    </x:row>
    <x:row r="55" ht="21" customHeight="1">
      <x:c r="A55" s="2" t="d">
        <x:v>2024-12-01T00:00:00.000Z</x:v>
      </x:c>
      <x:c r="B55" s="5" t="n">
        <x:v>2025</x:v>
      </x:c>
      <x:c r="C55" s="1" t="str">
        <x:v>Finance</x:v>
      </x:c>
      <x:c r="D55" s="1" t="str">
        <x:v>Materials</x:v>
      </x:c>
      <x:c r="E55" s="1" t="str">
        <x:v>Expense</x:v>
      </x:c>
      <x:c r="F55" s="4" t="n">
        <x:v>4480</x:v>
      </x:c>
      <x:c r="G55" s="4" t="n">
        <x:v>4632.27</x:v>
      </x:c>
    </x:row>
    <x:row r="56" ht="21" customHeight="1">
      <x:c r="A56" s="2" t="d">
        <x:v>2025-01-01T00:00:00.000Z</x:v>
      </x:c>
      <x:c r="B56" s="5" t="n">
        <x:v>2025</x:v>
      </x:c>
      <x:c r="C56" s="1" t="str">
        <x:v>Finance</x:v>
      </x:c>
      <x:c r="D56" s="1" t="str">
        <x:v>Materials</x:v>
      </x:c>
      <x:c r="E56" s="1" t="str">
        <x:v>Expense</x:v>
      </x:c>
      <x:c r="F56" s="4" t="n">
        <x:v>4480</x:v>
      </x:c>
      <x:c r="G56" s="4" t="n">
        <x:v>4321.15</x:v>
      </x:c>
    </x:row>
    <x:row r="57" ht="21" customHeight="1">
      <x:c r="A57" s="2" t="d">
        <x:v>2025-02-01T00:00:00.000Z</x:v>
      </x:c>
      <x:c r="B57" s="5" t="n">
        <x:v>2025</x:v>
      </x:c>
      <x:c r="C57" s="1" t="str">
        <x:v>Finance</x:v>
      </x:c>
      <x:c r="D57" s="1" t="str">
        <x:v>Materials</x:v>
      </x:c>
      <x:c r="E57" s="1" t="str">
        <x:v>Expense</x:v>
      </x:c>
      <x:c r="F57" s="4" t="n">
        <x:v>4760</x:v>
      </x:c>
      <x:c r="G57" s="4" t="n">
        <x:v>4898.61</x:v>
      </x:c>
    </x:row>
    <x:row r="58" ht="21" customHeight="1">
      <x:c r="A58" s="2" t="d">
        <x:v>2025-03-01T00:00:00.000Z</x:v>
      </x:c>
      <x:c r="B58" s="5" t="n">
        <x:v>2025</x:v>
      </x:c>
      <x:c r="C58" s="1" t="str">
        <x:v>Finance</x:v>
      </x:c>
      <x:c r="D58" s="1" t="str">
        <x:v>Materials</x:v>
      </x:c>
      <x:c r="E58" s="1" t="str">
        <x:v>Expense</x:v>
      </x:c>
      <x:c r="F58" s="4" t="n">
        <x:v>5320</x:v>
      </x:c>
      <x:c r="G58" s="4" t="n">
        <x:v>5429.71</x:v>
      </x:c>
    </x:row>
    <x:row r="59" ht="21" customHeight="1">
      <x:c r="A59" s="2" t="d">
        <x:v>2025-04-01T00:00:00.000Z</x:v>
      </x:c>
      <x:c r="B59" s="5" t="n">
        <x:v>2025</x:v>
      </x:c>
      <x:c r="C59" s="1" t="str">
        <x:v>Finance</x:v>
      </x:c>
      <x:c r="D59" s="1" t="str">
        <x:v>Materials</x:v>
      </x:c>
      <x:c r="E59" s="1" t="str">
        <x:v>Expense</x:v>
      </x:c>
      <x:c r="F59" s="4" t="n">
        <x:v>5600</x:v>
      </x:c>
      <x:c r="G59" s="4" t="n">
        <x:v>5415.64</x:v>
      </x:c>
    </x:row>
    <x:row r="60" ht="21" customHeight="1">
      <x:c r="A60" s="2" t="d">
        <x:v>2025-05-01T00:00:00.000Z</x:v>
      </x:c>
      <x:c r="B60" s="5" t="n">
        <x:v>2025</x:v>
      </x:c>
      <x:c r="C60" s="1" t="str">
        <x:v>Finance</x:v>
      </x:c>
      <x:c r="D60" s="1" t="str">
        <x:v>Materials</x:v>
      </x:c>
      <x:c r="E60" s="1" t="str">
        <x:v>Expense</x:v>
      </x:c>
      <x:c r="F60" s="4" t="n">
        <x:v>5880</x:v>
      </x:c>
      <x:c r="G60" s="4" t="n">
        <x:v>5823.34</x:v>
      </x:c>
    </x:row>
    <x:row r="61" ht="21" customHeight="1">
      <x:c r="A61" s="2" t="d">
        <x:v>2025-06-01T00:00:00.000Z</x:v>
      </x:c>
      <x:c r="B61" s="5" t="n">
        <x:v>2025</x:v>
      </x:c>
      <x:c r="C61" s="1" t="str">
        <x:v>Finance</x:v>
      </x:c>
      <x:c r="D61" s="1" t="str">
        <x:v>Materials</x:v>
      </x:c>
      <x:c r="E61" s="1" t="str">
        <x:v>Expense</x:v>
      </x:c>
      <x:c r="F61" s="4" t="n">
        <x:v>6160</x:v>
      </x:c>
      <x:c r="G61" s="4" t="n">
        <x:v>6222.91</x:v>
      </x:c>
    </x:row>
    <x:row r="62" ht="21" customHeight="1">
      <x:c r="A62" s="2" t="d">
        <x:v>2024-07-01T00:00:00.000Z</x:v>
      </x:c>
      <x:c r="B62" s="5" t="n">
        <x:v>2025</x:v>
      </x:c>
      <x:c r="C62" s="1" t="str">
        <x:v>Public Works</x:v>
      </x:c>
      <x:c r="D62" s="1" t="str">
        <x:v>Assigned operating support</x:v>
      </x:c>
      <x:c r="E62" s="1" t="str">
        <x:v>Funding</x:v>
      </x:c>
      <x:c r="F62" s="4" t="n">
        <x:v>248000</x:v>
      </x:c>
      <x:c r="G62" s="4" t="n">
        <x:v>248097.78</x:v>
      </x:c>
    </x:row>
    <x:row r="63" ht="21" customHeight="1">
      <x:c r="A63" s="2" t="d">
        <x:v>2024-08-01T00:00:00.000Z</x:v>
      </x:c>
      <x:c r="B63" s="5" t="n">
        <x:v>2025</x:v>
      </x:c>
      <x:c r="C63" s="1" t="str">
        <x:v>Public Works</x:v>
      </x:c>
      <x:c r="D63" s="1" t="str">
        <x:v>Assigned operating support</x:v>
      </x:c>
      <x:c r="E63" s="1" t="str">
        <x:v>Funding</x:v>
      </x:c>
      <x:c r="F63" s="4" t="n">
        <x:v>248000</x:v>
      </x:c>
      <x:c r="G63" s="4" t="n">
        <x:v>242470.51</x:v>
      </x:c>
    </x:row>
    <x:row r="64" ht="21" customHeight="1">
      <x:c r="A64" s="2" t="d">
        <x:v>2024-09-01T00:00:00.000Z</x:v>
      </x:c>
      <x:c r="B64" s="5" t="n">
        <x:v>2025</x:v>
      </x:c>
      <x:c r="C64" s="1" t="str">
        <x:v>Public Works</x:v>
      </x:c>
      <x:c r="D64" s="1" t="str">
        <x:v>Assigned operating support</x:v>
      </x:c>
      <x:c r="E64" s="1" t="str">
        <x:v>Funding</x:v>
      </x:c>
      <x:c r="F64" s="4" t="n">
        <x:v>248000</x:v>
      </x:c>
      <x:c r="G64" s="4" t="n">
        <x:v>243849.76</x:v>
      </x:c>
    </x:row>
    <x:row r="65" ht="21" customHeight="1">
      <x:c r="A65" s="2" t="d">
        <x:v>2024-10-01T00:00:00.000Z</x:v>
      </x:c>
      <x:c r="B65" s="5" t="n">
        <x:v>2025</x:v>
      </x:c>
      <x:c r="C65" s="1" t="str">
        <x:v>Public Works</x:v>
      </x:c>
      <x:c r="D65" s="1" t="str">
        <x:v>Assigned operating support</x:v>
      </x:c>
      <x:c r="E65" s="1" t="str">
        <x:v>Funding</x:v>
      </x:c>
      <x:c r="F65" s="4" t="n">
        <x:v>248000</x:v>
      </x:c>
      <x:c r="G65" s="4" t="n">
        <x:v>245060.39</x:v>
      </x:c>
    </x:row>
    <x:row r="66" ht="21" customHeight="1">
      <x:c r="A66" s="2" t="d">
        <x:v>2024-11-01T00:00:00.000Z</x:v>
      </x:c>
      <x:c r="B66" s="5" t="n">
        <x:v>2025</x:v>
      </x:c>
      <x:c r="C66" s="1" t="str">
        <x:v>Public Works</x:v>
      </x:c>
      <x:c r="D66" s="1" t="str">
        <x:v>Assigned operating support</x:v>
      </x:c>
      <x:c r="E66" s="1" t="str">
        <x:v>Funding</x:v>
      </x:c>
      <x:c r="F66" s="4" t="n">
        <x:v>248000</x:v>
      </x:c>
      <x:c r="G66" s="4" t="n">
        <x:v>253122.45</x:v>
      </x:c>
    </x:row>
    <x:row r="67" ht="21" customHeight="1">
      <x:c r="A67" s="2" t="d">
        <x:v>2024-12-01T00:00:00.000Z</x:v>
      </x:c>
      <x:c r="B67" s="5" t="n">
        <x:v>2025</x:v>
      </x:c>
      <x:c r="C67" s="1" t="str">
        <x:v>Public Works</x:v>
      </x:c>
      <x:c r="D67" s="1" t="str">
        <x:v>Assigned operating support</x:v>
      </x:c>
      <x:c r="E67" s="1" t="str">
        <x:v>Funding</x:v>
      </x:c>
      <x:c r="F67" s="4" t="n">
        <x:v>248000</x:v>
      </x:c>
      <x:c r="G67" s="4" t="n">
        <x:v>241824.09</x:v>
      </x:c>
    </x:row>
    <x:row r="68" ht="21" customHeight="1">
      <x:c r="A68" s="2" t="d">
        <x:v>2025-01-01T00:00:00.000Z</x:v>
      </x:c>
      <x:c r="B68" s="5" t="n">
        <x:v>2025</x:v>
      </x:c>
      <x:c r="C68" s="1" t="str">
        <x:v>Public Works</x:v>
      </x:c>
      <x:c r="D68" s="1" t="str">
        <x:v>Assigned operating support</x:v>
      </x:c>
      <x:c r="E68" s="1" t="str">
        <x:v>Funding</x:v>
      </x:c>
      <x:c r="F68" s="4" t="n">
        <x:v>248000</x:v>
      </x:c>
      <x:c r="G68" s="4" t="n">
        <x:v>259891.25</x:v>
      </x:c>
    </x:row>
    <x:row r="69" ht="21" customHeight="1">
      <x:c r="A69" s="2" t="d">
        <x:v>2025-02-01T00:00:00.000Z</x:v>
      </x:c>
      <x:c r="B69" s="5" t="n">
        <x:v>2025</x:v>
      </x:c>
      <x:c r="C69" s="1" t="str">
        <x:v>Public Works</x:v>
      </x:c>
      <x:c r="D69" s="1" t="str">
        <x:v>Assigned operating support</x:v>
      </x:c>
      <x:c r="E69" s="1" t="str">
        <x:v>Funding</x:v>
      </x:c>
      <x:c r="F69" s="4" t="n">
        <x:v>248000</x:v>
      </x:c>
      <x:c r="G69" s="4" t="n">
        <x:v>245966.19</x:v>
      </x:c>
    </x:row>
    <x:row r="70" ht="21" customHeight="1">
      <x:c r="A70" s="2" t="d">
        <x:v>2025-03-01T00:00:00.000Z</x:v>
      </x:c>
      <x:c r="B70" s="5" t="n">
        <x:v>2025</x:v>
      </x:c>
      <x:c r="C70" s="1" t="str">
        <x:v>Public Works</x:v>
      </x:c>
      <x:c r="D70" s="1" t="str">
        <x:v>Assigned operating support</x:v>
      </x:c>
      <x:c r="E70" s="1" t="str">
        <x:v>Funding</x:v>
      </x:c>
      <x:c r="F70" s="4" t="n">
        <x:v>248000</x:v>
      </x:c>
      <x:c r="G70" s="4" t="n">
        <x:v>241814.24</x:v>
      </x:c>
    </x:row>
    <x:row r="71" ht="21" customHeight="1">
      <x:c r="A71" s="2" t="d">
        <x:v>2025-04-01T00:00:00.000Z</x:v>
      </x:c>
      <x:c r="B71" s="5" t="n">
        <x:v>2025</x:v>
      </x:c>
      <x:c r="C71" s="1" t="str">
        <x:v>Public Works</x:v>
      </x:c>
      <x:c r="D71" s="1" t="str">
        <x:v>Assigned operating support</x:v>
      </x:c>
      <x:c r="E71" s="1" t="str">
        <x:v>Funding</x:v>
      </x:c>
      <x:c r="F71" s="4" t="n">
        <x:v>248000</x:v>
      </x:c>
      <x:c r="G71" s="4" t="n">
        <x:v>249295.01</x:v>
      </x:c>
    </x:row>
    <x:row r="72" ht="21" customHeight="1">
      <x:c r="A72" s="2" t="d">
        <x:v>2025-05-01T00:00:00.000Z</x:v>
      </x:c>
      <x:c r="B72" s="5" t="n">
        <x:v>2025</x:v>
      </x:c>
      <x:c r="C72" s="1" t="str">
        <x:v>Public Works</x:v>
      </x:c>
      <x:c r="D72" s="1" t="str">
        <x:v>Assigned operating support</x:v>
      </x:c>
      <x:c r="E72" s="1" t="str">
        <x:v>Funding</x:v>
      </x:c>
      <x:c r="F72" s="4" t="n">
        <x:v>248000</x:v>
      </x:c>
      <x:c r="G72" s="4" t="n">
        <x:v>258966.3</x:v>
      </x:c>
    </x:row>
    <x:row r="73" ht="21" customHeight="1">
      <x:c r="A73" s="2" t="d">
        <x:v>2025-06-01T00:00:00.000Z</x:v>
      </x:c>
      <x:c r="B73" s="5" t="n">
        <x:v>2025</x:v>
      </x:c>
      <x:c r="C73" s="1" t="str">
        <x:v>Public Works</x:v>
      </x:c>
      <x:c r="D73" s="1" t="str">
        <x:v>Assigned operating support</x:v>
      </x:c>
      <x:c r="E73" s="1" t="str">
        <x:v>Funding</x:v>
      </x:c>
      <x:c r="F73" s="4" t="n">
        <x:v>248000</x:v>
      </x:c>
      <x:c r="G73" s="4" t="n">
        <x:v>260522.03</x:v>
      </x:c>
    </x:row>
    <x:row r="74" ht="21" customHeight="1">
      <x:c r="A74" s="2" t="d">
        <x:v>2024-07-01T00:00:00.000Z</x:v>
      </x:c>
      <x:c r="B74" s="5" t="n">
        <x:v>2025</x:v>
      </x:c>
      <x:c r="C74" s="1" t="str">
        <x:v>Public Works</x:v>
      </x:c>
      <x:c r="D74" s="1" t="str">
        <x:v>Service fees</x:v>
      </x:c>
      <x:c r="E74" s="1" t="str">
        <x:v>Funding</x:v>
      </x:c>
      <x:c r="F74" s="4" t="n">
        <x:v>67600</x:v>
      </x:c>
      <x:c r="G74" s="4" t="n">
        <x:v>65998.64</x:v>
      </x:c>
    </x:row>
    <x:row r="75" ht="21" customHeight="1">
      <x:c r="A75" s="2" t="d">
        <x:v>2024-08-01T00:00:00.000Z</x:v>
      </x:c>
      <x:c r="B75" s="5" t="n">
        <x:v>2025</x:v>
      </x:c>
      <x:c r="C75" s="1" t="str">
        <x:v>Public Works</x:v>
      </x:c>
      <x:c r="D75" s="1" t="str">
        <x:v>Service fees</x:v>
      </x:c>
      <x:c r="E75" s="1" t="str">
        <x:v>Funding</x:v>
      </x:c>
      <x:c r="F75" s="4" t="n">
        <x:v>67600</x:v>
      </x:c>
      <x:c r="G75" s="4" t="n">
        <x:v>67694.41</x:v>
      </x:c>
    </x:row>
    <x:row r="76" ht="21" customHeight="1">
      <x:c r="A76" s="2" t="d">
        <x:v>2024-09-01T00:00:00.000Z</x:v>
      </x:c>
      <x:c r="B76" s="5" t="n">
        <x:v>2025</x:v>
      </x:c>
      <x:c r="C76" s="1" t="str">
        <x:v>Public Works</x:v>
      </x:c>
      <x:c r="D76" s="1" t="str">
        <x:v>Service fees</x:v>
      </x:c>
      <x:c r="E76" s="1" t="str">
        <x:v>Funding</x:v>
      </x:c>
      <x:c r="F76" s="4" t="n">
        <x:v>57200</x:v>
      </x:c>
      <x:c r="G76" s="4" t="n">
        <x:v>56099.38</x:v>
      </x:c>
    </x:row>
    <x:row r="77" ht="21" customHeight="1">
      <x:c r="A77" s="2" t="d">
        <x:v>2024-10-01T00:00:00.000Z</x:v>
      </x:c>
      <x:c r="B77" s="5" t="n">
        <x:v>2025</x:v>
      </x:c>
      <x:c r="C77" s="1" t="str">
        <x:v>Public Works</x:v>
      </x:c>
      <x:c r="D77" s="1" t="str">
        <x:v>Service fees</x:v>
      </x:c>
      <x:c r="E77" s="1" t="str">
        <x:v>Funding</x:v>
      </x:c>
      <x:c r="F77" s="4" t="n">
        <x:v>46800</x:v>
      </x:c>
      <x:c r="G77" s="4" t="n">
        <x:v>45724.55</x:v>
      </x:c>
    </x:row>
    <x:row r="78" ht="21" customHeight="1">
      <x:c r="A78" s="2" t="d">
        <x:v>2024-11-01T00:00:00.000Z</x:v>
      </x:c>
      <x:c r="B78" s="5" t="n">
        <x:v>2025</x:v>
      </x:c>
      <x:c r="C78" s="1" t="str">
        <x:v>Public Works</x:v>
      </x:c>
      <x:c r="D78" s="1" t="str">
        <x:v>Service fees</x:v>
      </x:c>
      <x:c r="E78" s="1" t="str">
        <x:v>Funding</x:v>
      </x:c>
      <x:c r="F78" s="4" t="n">
        <x:v>44200</x:v>
      </x:c>
      <x:c r="G78" s="4" t="n">
        <x:v>43660.64</x:v>
      </x:c>
    </x:row>
    <x:row r="79" ht="21" customHeight="1">
      <x:c r="A79" s="2" t="d">
        <x:v>2024-12-01T00:00:00.000Z</x:v>
      </x:c>
      <x:c r="B79" s="5" t="n">
        <x:v>2025</x:v>
      </x:c>
      <x:c r="C79" s="1" t="str">
        <x:v>Public Works</x:v>
      </x:c>
      <x:c r="D79" s="1" t="str">
        <x:v>Service fees</x:v>
      </x:c>
      <x:c r="E79" s="1" t="str">
        <x:v>Funding</x:v>
      </x:c>
      <x:c r="F79" s="4" t="n">
        <x:v>41600</x:v>
      </x:c>
      <x:c r="G79" s="4" t="n">
        <x:v>41816.47</x:v>
      </x:c>
    </x:row>
    <x:row r="80" ht="21" customHeight="1">
      <x:c r="A80" s="2" t="d">
        <x:v>2025-01-01T00:00:00.000Z</x:v>
      </x:c>
      <x:c r="B80" s="5" t="n">
        <x:v>2025</x:v>
      </x:c>
      <x:c r="C80" s="1" t="str">
        <x:v>Public Works</x:v>
      </x:c>
      <x:c r="D80" s="1" t="str">
        <x:v>Service fees</x:v>
      </x:c>
      <x:c r="E80" s="1" t="str">
        <x:v>Funding</x:v>
      </x:c>
      <x:c r="F80" s="4" t="n">
        <x:v>41600</x:v>
      </x:c>
      <x:c r="G80" s="4" t="n">
        <x:v>43013.39</x:v>
      </x:c>
    </x:row>
    <x:row r="81" ht="21" customHeight="1">
      <x:c r="A81" s="2" t="d">
        <x:v>2025-02-01T00:00:00.000Z</x:v>
      </x:c>
      <x:c r="B81" s="5" t="n">
        <x:v>2025</x:v>
      </x:c>
      <x:c r="C81" s="1" t="str">
        <x:v>Public Works</x:v>
      </x:c>
      <x:c r="D81" s="1" t="str">
        <x:v>Service fees</x:v>
      </x:c>
      <x:c r="E81" s="1" t="str">
        <x:v>Funding</x:v>
      </x:c>
      <x:c r="F81" s="4" t="n">
        <x:v>44200</x:v>
      </x:c>
      <x:c r="G81" s="4" t="n">
        <x:v>45418.76</x:v>
      </x:c>
    </x:row>
    <x:row r="82" ht="21" customHeight="1">
      <x:c r="A82" s="2" t="d">
        <x:v>2025-03-01T00:00:00.000Z</x:v>
      </x:c>
      <x:c r="B82" s="5" t="n">
        <x:v>2025</x:v>
      </x:c>
      <x:c r="C82" s="1" t="str">
        <x:v>Public Works</x:v>
      </x:c>
      <x:c r="D82" s="1" t="str">
        <x:v>Service fees</x:v>
      </x:c>
      <x:c r="E82" s="1" t="str">
        <x:v>Funding</x:v>
      </x:c>
      <x:c r="F82" s="4" t="n">
        <x:v>49400</x:v>
      </x:c>
      <x:c r="G82" s="4" t="n">
        <x:v>50520.41</x:v>
      </x:c>
    </x:row>
    <x:row r="83" ht="21" customHeight="1">
      <x:c r="A83" s="2" t="d">
        <x:v>2025-04-01T00:00:00.000Z</x:v>
      </x:c>
      <x:c r="B83" s="5" t="n">
        <x:v>2025</x:v>
      </x:c>
      <x:c r="C83" s="1" t="str">
        <x:v>Public Works</x:v>
      </x:c>
      <x:c r="D83" s="1" t="str">
        <x:v>Service fees</x:v>
      </x:c>
      <x:c r="E83" s="1" t="str">
        <x:v>Funding</x:v>
      </x:c>
      <x:c r="F83" s="4" t="n">
        <x:v>52000</x:v>
      </x:c>
      <x:c r="G83" s="4" t="n">
        <x:v>54060.8</x:v>
      </x:c>
    </x:row>
    <x:row r="84" ht="21" customHeight="1">
      <x:c r="A84" s="2" t="d">
        <x:v>2025-05-01T00:00:00.000Z</x:v>
      </x:c>
      <x:c r="B84" s="5" t="n">
        <x:v>2025</x:v>
      </x:c>
      <x:c r="C84" s="1" t="str">
        <x:v>Public Works</x:v>
      </x:c>
      <x:c r="D84" s="1" t="str">
        <x:v>Service fees</x:v>
      </x:c>
      <x:c r="E84" s="1" t="str">
        <x:v>Funding</x:v>
      </x:c>
      <x:c r="F84" s="4" t="n">
        <x:v>54600</x:v>
      </x:c>
      <x:c r="G84" s="4" t="n">
        <x:v>56904.12</x:v>
      </x:c>
    </x:row>
    <x:row r="85" ht="21" customHeight="1">
      <x:c r="A85" s="2" t="d">
        <x:v>2025-06-01T00:00:00.000Z</x:v>
      </x:c>
      <x:c r="B85" s="5" t="n">
        <x:v>2025</x:v>
      </x:c>
      <x:c r="C85" s="1" t="str">
        <x:v>Public Works</x:v>
      </x:c>
      <x:c r="D85" s="1" t="str">
        <x:v>Service fees</x:v>
      </x:c>
      <x:c r="E85" s="1" t="str">
        <x:v>Funding</x:v>
      </x:c>
      <x:c r="F85" s="4" t="n">
        <x:v>57200</x:v>
      </x:c>
      <x:c r="G85" s="4" t="n">
        <x:v>56208.43</x:v>
      </x:c>
    </x:row>
    <x:row r="86" ht="21" customHeight="1">
      <x:c r="A86" s="2" t="d">
        <x:v>2024-07-01T00:00:00.000Z</x:v>
      </x:c>
      <x:c r="B86" s="5" t="n">
        <x:v>2025</x:v>
      </x:c>
      <x:c r="C86" s="1" t="str">
        <x:v>Public Works</x:v>
      </x:c>
      <x:c r="D86" s="1" t="str">
        <x:v>Personnel</x:v>
      </x:c>
      <x:c r="E86" s="1" t="str">
        <x:v>Expense</x:v>
      </x:c>
      <x:c r="F86" s="4" t="n">
        <x:v>176000</x:v>
      </x:c>
      <x:c r="G86" s="4" t="n">
        <x:v>182881.11</x:v>
      </x:c>
    </x:row>
    <x:row r="87" ht="21" customHeight="1">
      <x:c r="A87" s="2" t="d">
        <x:v>2024-08-01T00:00:00.000Z</x:v>
      </x:c>
      <x:c r="B87" s="5" t="n">
        <x:v>2025</x:v>
      </x:c>
      <x:c r="C87" s="1" t="str">
        <x:v>Public Works</x:v>
      </x:c>
      <x:c r="D87" s="1" t="str">
        <x:v>Personnel</x:v>
      </x:c>
      <x:c r="E87" s="1" t="str">
        <x:v>Expense</x:v>
      </x:c>
      <x:c r="F87" s="4" t="n">
        <x:v>176000</x:v>
      </x:c>
      <x:c r="G87" s="4" t="n">
        <x:v>172696.85</x:v>
      </x:c>
    </x:row>
    <x:row r="88" ht="21" customHeight="1">
      <x:c r="A88" s="2" t="d">
        <x:v>2024-09-01T00:00:00.000Z</x:v>
      </x:c>
      <x:c r="B88" s="5" t="n">
        <x:v>2025</x:v>
      </x:c>
      <x:c r="C88" s="1" t="str">
        <x:v>Public Works</x:v>
      </x:c>
      <x:c r="D88" s="1" t="str">
        <x:v>Personnel</x:v>
      </x:c>
      <x:c r="E88" s="1" t="str">
        <x:v>Expense</x:v>
      </x:c>
      <x:c r="F88" s="4" t="n">
        <x:v>176000</x:v>
      </x:c>
      <x:c r="G88" s="4" t="n">
        <x:v>178989.71</x:v>
      </x:c>
    </x:row>
    <x:row r="89" ht="21" customHeight="1">
      <x:c r="A89" s="2" t="d">
        <x:v>2024-10-01T00:00:00.000Z</x:v>
      </x:c>
      <x:c r="B89" s="5" t="n">
        <x:v>2025</x:v>
      </x:c>
      <x:c r="C89" s="1" t="str">
        <x:v>Public Works</x:v>
      </x:c>
      <x:c r="D89" s="1" t="str">
        <x:v>Personnel</x:v>
      </x:c>
      <x:c r="E89" s="1" t="str">
        <x:v>Expense</x:v>
      </x:c>
      <x:c r="F89" s="4" t="n">
        <x:v>176000</x:v>
      </x:c>
      <x:c r="G89" s="4" t="n">
        <x:v>183082.69</x:v>
      </x:c>
    </x:row>
    <x:row r="90" ht="21" customHeight="1">
      <x:c r="A90" s="2" t="d">
        <x:v>2024-11-01T00:00:00.000Z</x:v>
      </x:c>
      <x:c r="B90" s="5" t="n">
        <x:v>2025</x:v>
      </x:c>
      <x:c r="C90" s="1" t="str">
        <x:v>Public Works</x:v>
      </x:c>
      <x:c r="D90" s="1" t="str">
        <x:v>Personnel</x:v>
      </x:c>
      <x:c r="E90" s="1" t="str">
        <x:v>Expense</x:v>
      </x:c>
      <x:c r="F90" s="4" t="n">
        <x:v>176000</x:v>
      </x:c>
      <x:c r="G90" s="4" t="n">
        <x:v>174878.72</x:v>
      </x:c>
    </x:row>
    <x:row r="91" ht="21" customHeight="1">
      <x:c r="A91" s="2" t="d">
        <x:v>2024-12-01T00:00:00.000Z</x:v>
      </x:c>
      <x:c r="B91" s="5" t="n">
        <x:v>2025</x:v>
      </x:c>
      <x:c r="C91" s="1" t="str">
        <x:v>Public Works</x:v>
      </x:c>
      <x:c r="D91" s="1" t="str">
        <x:v>Personnel</x:v>
      </x:c>
      <x:c r="E91" s="1" t="str">
        <x:v>Expense</x:v>
      </x:c>
      <x:c r="F91" s="4" t="n">
        <x:v>176000</x:v>
      </x:c>
      <x:c r="G91" s="4" t="n">
        <x:v>172388.19</x:v>
      </x:c>
    </x:row>
    <x:row r="92" ht="21" customHeight="1">
      <x:c r="A92" s="2" t="d">
        <x:v>2025-01-01T00:00:00.000Z</x:v>
      </x:c>
      <x:c r="B92" s="5" t="n">
        <x:v>2025</x:v>
      </x:c>
      <x:c r="C92" s="1" t="str">
        <x:v>Public Works</x:v>
      </x:c>
      <x:c r="D92" s="1" t="str">
        <x:v>Personnel</x:v>
      </x:c>
      <x:c r="E92" s="1" t="str">
        <x:v>Expense</x:v>
      </x:c>
      <x:c r="F92" s="4" t="n">
        <x:v>176000</x:v>
      </x:c>
      <x:c r="G92" s="4" t="n">
        <x:v>179319.8</x:v>
      </x:c>
    </x:row>
    <x:row r="93" ht="21" customHeight="1">
      <x:c r="A93" s="2" t="d">
        <x:v>2025-02-01T00:00:00.000Z</x:v>
      </x:c>
      <x:c r="B93" s="5" t="n">
        <x:v>2025</x:v>
      </x:c>
      <x:c r="C93" s="1" t="str">
        <x:v>Public Works</x:v>
      </x:c>
      <x:c r="D93" s="1" t="str">
        <x:v>Personnel</x:v>
      </x:c>
      <x:c r="E93" s="1" t="str">
        <x:v>Expense</x:v>
      </x:c>
      <x:c r="F93" s="4" t="n">
        <x:v>176000</x:v>
      </x:c>
      <x:c r="G93" s="4" t="n">
        <x:v>180231.77</x:v>
      </x:c>
    </x:row>
    <x:row r="94" ht="21" customHeight="1">
      <x:c r="A94" s="2" t="d">
        <x:v>2025-03-01T00:00:00.000Z</x:v>
      </x:c>
      <x:c r="B94" s="5" t="n">
        <x:v>2025</x:v>
      </x:c>
      <x:c r="C94" s="1" t="str">
        <x:v>Public Works</x:v>
      </x:c>
      <x:c r="D94" s="1" t="str">
        <x:v>Personnel</x:v>
      </x:c>
      <x:c r="E94" s="1" t="str">
        <x:v>Expense</x:v>
      </x:c>
      <x:c r="F94" s="4" t="n">
        <x:v>176000</x:v>
      </x:c>
      <x:c r="G94" s="4" t="n">
        <x:v>176194.74</x:v>
      </x:c>
    </x:row>
    <x:row r="95" ht="21" customHeight="1">
      <x:c r="A95" s="2" t="d">
        <x:v>2025-04-01T00:00:00.000Z</x:v>
      </x:c>
      <x:c r="B95" s="5" t="n">
        <x:v>2025</x:v>
      </x:c>
      <x:c r="C95" s="1" t="str">
        <x:v>Public Works</x:v>
      </x:c>
      <x:c r="D95" s="1" t="str">
        <x:v>Personnel</x:v>
      </x:c>
      <x:c r="E95" s="1" t="str">
        <x:v>Expense</x:v>
      </x:c>
      <x:c r="F95" s="4" t="n">
        <x:v>176000</x:v>
      </x:c>
      <x:c r="G95" s="4" t="n">
        <x:v>182280.42</x:v>
      </x:c>
    </x:row>
    <x:row r="96" ht="21" customHeight="1">
      <x:c r="A96" s="2" t="d">
        <x:v>2025-05-01T00:00:00.000Z</x:v>
      </x:c>
      <x:c r="B96" s="5" t="n">
        <x:v>2025</x:v>
      </x:c>
      <x:c r="C96" s="1" t="str">
        <x:v>Public Works</x:v>
      </x:c>
      <x:c r="D96" s="1" t="str">
        <x:v>Personnel</x:v>
      </x:c>
      <x:c r="E96" s="1" t="str">
        <x:v>Expense</x:v>
      </x:c>
      <x:c r="F96" s="4" t="n">
        <x:v>176000</x:v>
      </x:c>
      <x:c r="G96" s="4" t="n">
        <x:v>170251.39</x:v>
      </x:c>
    </x:row>
    <x:row r="97" ht="21" customHeight="1">
      <x:c r="A97" s="2" t="d">
        <x:v>2025-06-01T00:00:00.000Z</x:v>
      </x:c>
      <x:c r="B97" s="5" t="n">
        <x:v>2025</x:v>
      </x:c>
      <x:c r="C97" s="1" t="str">
        <x:v>Public Works</x:v>
      </x:c>
      <x:c r="D97" s="1" t="str">
        <x:v>Personnel</x:v>
      </x:c>
      <x:c r="E97" s="1" t="str">
        <x:v>Expense</x:v>
      </x:c>
      <x:c r="F97" s="4" t="n">
        <x:v>176000</x:v>
      </x:c>
      <x:c r="G97" s="4" t="n">
        <x:v>169364.61</x:v>
      </x:c>
    </x:row>
    <x:row r="98" ht="21" customHeight="1">
      <x:c r="A98" s="2" t="d">
        <x:v>2024-07-01T00:00:00.000Z</x:v>
      </x:c>
      <x:c r="B98" s="5" t="n">
        <x:v>2025</x:v>
      </x:c>
      <x:c r="C98" s="1" t="str">
        <x:v>Public Works</x:v>
      </x:c>
      <x:c r="D98" s="1" t="str">
        <x:v>Contract services</x:v>
      </x:c>
      <x:c r="E98" s="1" t="str">
        <x:v>Expense</x:v>
      </x:c>
      <x:c r="F98" s="4" t="n">
        <x:v>84000</x:v>
      </x:c>
      <x:c r="G98" s="4" t="n">
        <x:v>85311.49</x:v>
      </x:c>
    </x:row>
    <x:row r="99" ht="21" customHeight="1">
      <x:c r="A99" s="2" t="d">
        <x:v>2024-08-01T00:00:00.000Z</x:v>
      </x:c>
      <x:c r="B99" s="5" t="n">
        <x:v>2025</x:v>
      </x:c>
      <x:c r="C99" s="1" t="str">
        <x:v>Public Works</x:v>
      </x:c>
      <x:c r="D99" s="1" t="str">
        <x:v>Contract services</x:v>
      </x:c>
      <x:c r="E99" s="1" t="str">
        <x:v>Expense</x:v>
      </x:c>
      <x:c r="F99" s="4" t="n">
        <x:v>84000</x:v>
      </x:c>
      <x:c r="G99" s="4" t="n">
        <x:v>84204.92</x:v>
      </x:c>
    </x:row>
    <x:row r="100" ht="21" customHeight="1">
      <x:c r="A100" s="2" t="d">
        <x:v>2024-09-01T00:00:00.000Z</x:v>
      </x:c>
      <x:c r="B100" s="5" t="n">
        <x:v>2025</x:v>
      </x:c>
      <x:c r="C100" s="1" t="str">
        <x:v>Public Works</x:v>
      </x:c>
      <x:c r="D100" s="1" t="str">
        <x:v>Contract services</x:v>
      </x:c>
      <x:c r="E100" s="1" t="str">
        <x:v>Expense</x:v>
      </x:c>
      <x:c r="F100" s="4" t="n">
        <x:v>84000</x:v>
      </x:c>
      <x:c r="G100" s="4" t="n">
        <x:v>85524.72</x:v>
      </x:c>
    </x:row>
    <x:row r="101" ht="21" customHeight="1">
      <x:c r="A101" s="2" t="d">
        <x:v>2024-10-01T00:00:00.000Z</x:v>
      </x:c>
      <x:c r="B101" s="5" t="n">
        <x:v>2025</x:v>
      </x:c>
      <x:c r="C101" s="1" t="str">
        <x:v>Public Works</x:v>
      </x:c>
      <x:c r="D101" s="1" t="str">
        <x:v>Contract services</x:v>
      </x:c>
      <x:c r="E101" s="1" t="str">
        <x:v>Expense</x:v>
      </x:c>
      <x:c r="F101" s="4" t="n">
        <x:v>84000</x:v>
      </x:c>
      <x:c r="G101" s="4" t="n">
        <x:v>85752.96</x:v>
      </x:c>
    </x:row>
    <x:row r="102" ht="21" customHeight="1">
      <x:c r="A102" s="2" t="d">
        <x:v>2024-11-01T00:00:00.000Z</x:v>
      </x:c>
      <x:c r="B102" s="5" t="n">
        <x:v>2025</x:v>
      </x:c>
      <x:c r="C102" s="1" t="str">
        <x:v>Public Works</x:v>
      </x:c>
      <x:c r="D102" s="1" t="str">
        <x:v>Contract services</x:v>
      </x:c>
      <x:c r="E102" s="1" t="str">
        <x:v>Expense</x:v>
      </x:c>
      <x:c r="F102" s="4" t="n">
        <x:v>84000</x:v>
      </x:c>
      <x:c r="G102" s="4" t="n">
        <x:v>80622.96</x:v>
      </x:c>
    </x:row>
    <x:row r="103" ht="21" customHeight="1">
      <x:c r="A103" s="2" t="d">
        <x:v>2024-12-01T00:00:00.000Z</x:v>
      </x:c>
      <x:c r="B103" s="5" t="n">
        <x:v>2025</x:v>
      </x:c>
      <x:c r="C103" s="1" t="str">
        <x:v>Public Works</x:v>
      </x:c>
      <x:c r="D103" s="1" t="str">
        <x:v>Contract services</x:v>
      </x:c>
      <x:c r="E103" s="1" t="str">
        <x:v>Expense</x:v>
      </x:c>
      <x:c r="F103" s="4" t="n">
        <x:v>84000</x:v>
      </x:c>
      <x:c r="G103" s="4" t="n">
        <x:v>81908.88</x:v>
      </x:c>
    </x:row>
    <x:row r="104" ht="21" customHeight="1">
      <x:c r="A104" s="2" t="d">
        <x:v>2025-01-01T00:00:00.000Z</x:v>
      </x:c>
      <x:c r="B104" s="5" t="n">
        <x:v>2025</x:v>
      </x:c>
      <x:c r="C104" s="1" t="str">
        <x:v>Public Works</x:v>
      </x:c>
      <x:c r="D104" s="1" t="str">
        <x:v>Contract services</x:v>
      </x:c>
      <x:c r="E104" s="1" t="str">
        <x:v>Expense</x:v>
      </x:c>
      <x:c r="F104" s="4" t="n">
        <x:v>84000</x:v>
      </x:c>
      <x:c r="G104" s="4" t="n">
        <x:v>86946.12</x:v>
      </x:c>
    </x:row>
    <x:row r="105" ht="21" customHeight="1">
      <x:c r="A105" s="2" t="d">
        <x:v>2025-02-01T00:00:00.000Z</x:v>
      </x:c>
      <x:c r="B105" s="5" t="n">
        <x:v>2025</x:v>
      </x:c>
      <x:c r="C105" s="1" t="str">
        <x:v>Public Works</x:v>
      </x:c>
      <x:c r="D105" s="1" t="str">
        <x:v>Contract services</x:v>
      </x:c>
      <x:c r="E105" s="1" t="str">
        <x:v>Expense</x:v>
      </x:c>
      <x:c r="F105" s="4" t="n">
        <x:v>84000</x:v>
      </x:c>
      <x:c r="G105" s="4" t="n">
        <x:v>85958.42</x:v>
      </x:c>
    </x:row>
    <x:row r="106" ht="21" customHeight="1">
      <x:c r="A106" s="2" t="d">
        <x:v>2025-03-01T00:00:00.000Z</x:v>
      </x:c>
      <x:c r="B106" s="5" t="n">
        <x:v>2025</x:v>
      </x:c>
      <x:c r="C106" s="1" t="str">
        <x:v>Public Works</x:v>
      </x:c>
      <x:c r="D106" s="1" t="str">
        <x:v>Contract services</x:v>
      </x:c>
      <x:c r="E106" s="1" t="str">
        <x:v>Expense</x:v>
      </x:c>
      <x:c r="F106" s="4" t="n">
        <x:v>84000</x:v>
      </x:c>
      <x:c r="G106" s="4" t="n">
        <x:v>84503.13</x:v>
      </x:c>
    </x:row>
    <x:row r="107" ht="21" customHeight="1">
      <x:c r="A107" s="2" t="d">
        <x:v>2025-04-01T00:00:00.000Z</x:v>
      </x:c>
      <x:c r="B107" s="5" t="n">
        <x:v>2025</x:v>
      </x:c>
      <x:c r="C107" s="1" t="str">
        <x:v>Public Works</x:v>
      </x:c>
      <x:c r="D107" s="1" t="str">
        <x:v>Contract services</x:v>
      </x:c>
      <x:c r="E107" s="1" t="str">
        <x:v>Expense</x:v>
      </x:c>
      <x:c r="F107" s="4" t="n">
        <x:v>84000</x:v>
      </x:c>
      <x:c r="G107" s="4" t="n">
        <x:v>86630.3</x:v>
      </x:c>
    </x:row>
    <x:row r="108" ht="21" customHeight="1">
      <x:c r="A108" s="2" t="d">
        <x:v>2025-05-01T00:00:00.000Z</x:v>
      </x:c>
      <x:c r="B108" s="5" t="n">
        <x:v>2025</x:v>
      </x:c>
      <x:c r="C108" s="1" t="str">
        <x:v>Public Works</x:v>
      </x:c>
      <x:c r="D108" s="1" t="str">
        <x:v>Contract services</x:v>
      </x:c>
      <x:c r="E108" s="1" t="str">
        <x:v>Expense</x:v>
      </x:c>
      <x:c r="F108" s="4" t="n">
        <x:v>84000</x:v>
      </x:c>
      <x:c r="G108" s="4" t="n">
        <x:v>81340.79</x:v>
      </x:c>
    </x:row>
    <x:row r="109" ht="21" customHeight="1">
      <x:c r="A109" s="2" t="d">
        <x:v>2025-06-01T00:00:00.000Z</x:v>
      </x:c>
      <x:c r="B109" s="5" t="n">
        <x:v>2025</x:v>
      </x:c>
      <x:c r="C109" s="1" t="str">
        <x:v>Public Works</x:v>
      </x:c>
      <x:c r="D109" s="1" t="str">
        <x:v>Contract services</x:v>
      </x:c>
      <x:c r="E109" s="1" t="str">
        <x:v>Expense</x:v>
      </x:c>
      <x:c r="F109" s="4" t="n">
        <x:v>84000</x:v>
      </x:c>
      <x:c r="G109" s="4" t="n">
        <x:v>84335.31</x:v>
      </x:c>
    </x:row>
    <x:row r="110" ht="21" customHeight="1">
      <x:c r="A110" s="2" t="d">
        <x:v>2024-07-01T00:00:00.000Z</x:v>
      </x:c>
      <x:c r="B110" s="5" t="n">
        <x:v>2025</x:v>
      </x:c>
      <x:c r="C110" s="1" t="str">
        <x:v>Public Works</x:v>
      </x:c>
      <x:c r="D110" s="1" t="str">
        <x:v>Materials</x:v>
      </x:c>
      <x:c r="E110" s="1" t="str">
        <x:v>Expense</x:v>
      </x:c>
      <x:c r="F110" s="4" t="n">
        <x:v>41600</x:v>
      </x:c>
      <x:c r="G110" s="4" t="n">
        <x:v>42960.94</x:v>
      </x:c>
    </x:row>
    <x:row r="111" ht="21" customHeight="1">
      <x:c r="A111" s="2" t="d">
        <x:v>2024-08-01T00:00:00.000Z</x:v>
      </x:c>
      <x:c r="B111" s="5" t="n">
        <x:v>2025</x:v>
      </x:c>
      <x:c r="C111" s="1" t="str">
        <x:v>Public Works</x:v>
      </x:c>
      <x:c r="D111" s="1" t="str">
        <x:v>Materials</x:v>
      </x:c>
      <x:c r="E111" s="1" t="str">
        <x:v>Expense</x:v>
      </x:c>
      <x:c r="F111" s="4" t="n">
        <x:v>41600</x:v>
      </x:c>
      <x:c r="G111" s="4" t="n">
        <x:v>41622.02</x:v>
      </x:c>
    </x:row>
    <x:row r="112" ht="21" customHeight="1">
      <x:c r="A112" s="2" t="d">
        <x:v>2024-09-01T00:00:00.000Z</x:v>
      </x:c>
      <x:c r="B112" s="5" t="n">
        <x:v>2025</x:v>
      </x:c>
      <x:c r="C112" s="1" t="str">
        <x:v>Public Works</x:v>
      </x:c>
      <x:c r="D112" s="1" t="str">
        <x:v>Materials</x:v>
      </x:c>
      <x:c r="E112" s="1" t="str">
        <x:v>Expense</x:v>
      </x:c>
      <x:c r="F112" s="4" t="n">
        <x:v>35200</x:v>
      </x:c>
      <x:c r="G112" s="4" t="n">
        <x:v>35082.87</x:v>
      </x:c>
    </x:row>
    <x:row r="113" ht="21" customHeight="1">
      <x:c r="A113" s="2" t="d">
        <x:v>2024-10-01T00:00:00.000Z</x:v>
      </x:c>
      <x:c r="B113" s="5" t="n">
        <x:v>2025</x:v>
      </x:c>
      <x:c r="C113" s="1" t="str">
        <x:v>Public Works</x:v>
      </x:c>
      <x:c r="D113" s="1" t="str">
        <x:v>Materials</x:v>
      </x:c>
      <x:c r="E113" s="1" t="str">
        <x:v>Expense</x:v>
      </x:c>
      <x:c r="F113" s="4" t="n">
        <x:v>28800</x:v>
      </x:c>
      <x:c r="G113" s="4" t="n">
        <x:v>29339.9</x:v>
      </x:c>
    </x:row>
    <x:row r="114" ht="21" customHeight="1">
      <x:c r="A114" s="2" t="d">
        <x:v>2024-11-01T00:00:00.000Z</x:v>
      </x:c>
      <x:c r="B114" s="5" t="n">
        <x:v>2025</x:v>
      </x:c>
      <x:c r="C114" s="1" t="str">
        <x:v>Public Works</x:v>
      </x:c>
      <x:c r="D114" s="1" t="str">
        <x:v>Materials</x:v>
      </x:c>
      <x:c r="E114" s="1" t="str">
        <x:v>Expense</x:v>
      </x:c>
      <x:c r="F114" s="4" t="n">
        <x:v>27200</x:v>
      </x:c>
      <x:c r="G114" s="4" t="n">
        <x:v>27763.07</x:v>
      </x:c>
    </x:row>
    <x:row r="115" ht="21" customHeight="1">
      <x:c r="A115" s="2" t="d">
        <x:v>2024-12-01T00:00:00.000Z</x:v>
      </x:c>
      <x:c r="B115" s="5" t="n">
        <x:v>2025</x:v>
      </x:c>
      <x:c r="C115" s="1" t="str">
        <x:v>Public Works</x:v>
      </x:c>
      <x:c r="D115" s="1" t="str">
        <x:v>Materials</x:v>
      </x:c>
      <x:c r="E115" s="1" t="str">
        <x:v>Expense</x:v>
      </x:c>
      <x:c r="F115" s="4" t="n">
        <x:v>25600</x:v>
      </x:c>
      <x:c r="G115" s="4" t="n">
        <x:v>25614.9</x:v>
      </x:c>
    </x:row>
    <x:row r="116" ht="21" customHeight="1">
      <x:c r="A116" s="2" t="d">
        <x:v>2025-01-01T00:00:00.000Z</x:v>
      </x:c>
      <x:c r="B116" s="5" t="n">
        <x:v>2025</x:v>
      </x:c>
      <x:c r="C116" s="1" t="str">
        <x:v>Public Works</x:v>
      </x:c>
      <x:c r="D116" s="1" t="str">
        <x:v>Materials</x:v>
      </x:c>
      <x:c r="E116" s="1" t="str">
        <x:v>Expense</x:v>
      </x:c>
      <x:c r="F116" s="4" t="n">
        <x:v>25600</x:v>
      </x:c>
      <x:c r="G116" s="4" t="n">
        <x:v>25793.24</x:v>
      </x:c>
    </x:row>
    <x:row r="117" ht="21" customHeight="1">
      <x:c r="A117" s="2" t="d">
        <x:v>2025-02-01T00:00:00.000Z</x:v>
      </x:c>
      <x:c r="B117" s="5" t="n">
        <x:v>2025</x:v>
      </x:c>
      <x:c r="C117" s="1" t="str">
        <x:v>Public Works</x:v>
      </x:c>
      <x:c r="D117" s="1" t="str">
        <x:v>Materials</x:v>
      </x:c>
      <x:c r="E117" s="1" t="str">
        <x:v>Expense</x:v>
      </x:c>
      <x:c r="F117" s="4" t="n">
        <x:v>27200</x:v>
      </x:c>
      <x:c r="G117" s="4" t="n">
        <x:v>27231.22</x:v>
      </x:c>
    </x:row>
    <x:row r="118" ht="21" customHeight="1">
      <x:c r="A118" s="2" t="d">
        <x:v>2025-03-01T00:00:00.000Z</x:v>
      </x:c>
      <x:c r="B118" s="5" t="n">
        <x:v>2025</x:v>
      </x:c>
      <x:c r="C118" s="1" t="str">
        <x:v>Public Works</x:v>
      </x:c>
      <x:c r="D118" s="1" t="str">
        <x:v>Materials</x:v>
      </x:c>
      <x:c r="E118" s="1" t="str">
        <x:v>Expense</x:v>
      </x:c>
      <x:c r="F118" s="4" t="n">
        <x:v>30400</x:v>
      </x:c>
      <x:c r="G118" s="4" t="n">
        <x:v>30408.52</x:v>
      </x:c>
    </x:row>
    <x:row r="119" ht="21" customHeight="1">
      <x:c r="A119" s="2" t="d">
        <x:v>2025-04-01T00:00:00.000Z</x:v>
      </x:c>
      <x:c r="B119" s="5" t="n">
        <x:v>2025</x:v>
      </x:c>
      <x:c r="C119" s="1" t="str">
        <x:v>Public Works</x:v>
      </x:c>
      <x:c r="D119" s="1" t="str">
        <x:v>Materials</x:v>
      </x:c>
      <x:c r="E119" s="1" t="str">
        <x:v>Expense</x:v>
      </x:c>
      <x:c r="F119" s="4" t="n">
        <x:v>32000</x:v>
      </x:c>
      <x:c r="G119" s="4" t="n">
        <x:v>33112.03</x:v>
      </x:c>
    </x:row>
    <x:row r="120" ht="21" customHeight="1">
      <x:c r="A120" s="2" t="d">
        <x:v>2025-05-01T00:00:00.000Z</x:v>
      </x:c>
      <x:c r="B120" s="5" t="n">
        <x:v>2025</x:v>
      </x:c>
      <x:c r="C120" s="1" t="str">
        <x:v>Public Works</x:v>
      </x:c>
      <x:c r="D120" s="1" t="str">
        <x:v>Materials</x:v>
      </x:c>
      <x:c r="E120" s="1" t="str">
        <x:v>Expense</x:v>
      </x:c>
      <x:c r="F120" s="4" t="n">
        <x:v>33600</x:v>
      </x:c>
      <x:c r="G120" s="4" t="n">
        <x:v>32275.56</x:v>
      </x:c>
    </x:row>
    <x:row r="121" ht="21" customHeight="1">
      <x:c r="A121" s="2" t="d">
        <x:v>2025-06-01T00:00:00.000Z</x:v>
      </x:c>
      <x:c r="B121" s="5" t="n">
        <x:v>2025</x:v>
      </x:c>
      <x:c r="C121" s="1" t="str">
        <x:v>Public Works</x:v>
      </x:c>
      <x:c r="D121" s="1" t="str">
        <x:v>Materials</x:v>
      </x:c>
      <x:c r="E121" s="1" t="str">
        <x:v>Expense</x:v>
      </x:c>
      <x:c r="F121" s="4" t="n">
        <x:v>35200</x:v>
      </x:c>
      <x:c r="G121" s="4" t="n">
        <x:v>34715.73</x:v>
      </x:c>
    </x:row>
    <x:row r="122" ht="21" customHeight="1">
      <x:c r="A122" s="2" t="d">
        <x:v>2024-07-01T00:00:00.000Z</x:v>
      </x:c>
      <x:c r="B122" s="5" t="n">
        <x:v>2025</x:v>
      </x:c>
      <x:c r="C122" s="1" t="str">
        <x:v>Parks and Recreation</x:v>
      </x:c>
      <x:c r="D122" s="1" t="str">
        <x:v>Assigned operating support</x:v>
      </x:c>
      <x:c r="E122" s="1" t="str">
        <x:v>Funding</x:v>
      </x:c>
      <x:c r="F122" s="4" t="n">
        <x:v>144000</x:v>
      </x:c>
      <x:c r="G122" s="4" t="n">
        <x:v>145076.73</x:v>
      </x:c>
    </x:row>
    <x:row r="123" ht="21" customHeight="1">
      <x:c r="A123" s="2" t="d">
        <x:v>2024-08-01T00:00:00.000Z</x:v>
      </x:c>
      <x:c r="B123" s="5" t="n">
        <x:v>2025</x:v>
      </x:c>
      <x:c r="C123" s="1" t="str">
        <x:v>Parks and Recreation</x:v>
      </x:c>
      <x:c r="D123" s="1" t="str">
        <x:v>Assigned operating support</x:v>
      </x:c>
      <x:c r="E123" s="1" t="str">
        <x:v>Funding</x:v>
      </x:c>
      <x:c r="F123" s="4" t="n">
        <x:v>144000</x:v>
      </x:c>
      <x:c r="G123" s="4" t="n">
        <x:v>145437.44</x:v>
      </x:c>
    </x:row>
    <x:row r="124" ht="21" customHeight="1">
      <x:c r="A124" s="2" t="d">
        <x:v>2024-09-01T00:00:00.000Z</x:v>
      </x:c>
      <x:c r="B124" s="5" t="n">
        <x:v>2025</x:v>
      </x:c>
      <x:c r="C124" s="1" t="str">
        <x:v>Parks and Recreation</x:v>
      </x:c>
      <x:c r="D124" s="1" t="str">
        <x:v>Assigned operating support</x:v>
      </x:c>
      <x:c r="E124" s="1" t="str">
        <x:v>Funding</x:v>
      </x:c>
      <x:c r="F124" s="4" t="n">
        <x:v>144000</x:v>
      </x:c>
      <x:c r="G124" s="4" t="n">
        <x:v>141460.76</x:v>
      </x:c>
    </x:row>
    <x:row r="125" ht="21" customHeight="1">
      <x:c r="A125" s="2" t="d">
        <x:v>2024-10-01T00:00:00.000Z</x:v>
      </x:c>
      <x:c r="B125" s="5" t="n">
        <x:v>2025</x:v>
      </x:c>
      <x:c r="C125" s="1" t="str">
        <x:v>Parks and Recreation</x:v>
      </x:c>
      <x:c r="D125" s="1" t="str">
        <x:v>Assigned operating support</x:v>
      </x:c>
      <x:c r="E125" s="1" t="str">
        <x:v>Funding</x:v>
      </x:c>
      <x:c r="F125" s="4" t="n">
        <x:v>144000</x:v>
      </x:c>
      <x:c r="G125" s="4" t="n">
        <x:v>140400.6</x:v>
      </x:c>
    </x:row>
    <x:row r="126" ht="21" customHeight="1">
      <x:c r="A126" s="2" t="d">
        <x:v>2024-11-01T00:00:00.000Z</x:v>
      </x:c>
      <x:c r="B126" s="5" t="n">
        <x:v>2025</x:v>
      </x:c>
      <x:c r="C126" s="1" t="str">
        <x:v>Parks and Recreation</x:v>
      </x:c>
      <x:c r="D126" s="1" t="str">
        <x:v>Assigned operating support</x:v>
      </x:c>
      <x:c r="E126" s="1" t="str">
        <x:v>Funding</x:v>
      </x:c>
      <x:c r="F126" s="4" t="n">
        <x:v>144000</x:v>
      </x:c>
      <x:c r="G126" s="4" t="n">
        <x:v>141217.9</x:v>
      </x:c>
    </x:row>
    <x:row r="127" ht="21" customHeight="1">
      <x:c r="A127" s="2" t="d">
        <x:v>2024-12-01T00:00:00.000Z</x:v>
      </x:c>
      <x:c r="B127" s="5" t="n">
        <x:v>2025</x:v>
      </x:c>
      <x:c r="C127" s="1" t="str">
        <x:v>Parks and Recreation</x:v>
      </x:c>
      <x:c r="D127" s="1" t="str">
        <x:v>Assigned operating support</x:v>
      </x:c>
      <x:c r="E127" s="1" t="str">
        <x:v>Funding</x:v>
      </x:c>
      <x:c r="F127" s="4" t="n">
        <x:v>144000</x:v>
      </x:c>
      <x:c r="G127" s="4" t="n">
        <x:v>142098.88</x:v>
      </x:c>
    </x:row>
    <x:row r="128" ht="21" customHeight="1">
      <x:c r="A128" s="2" t="d">
        <x:v>2025-01-01T00:00:00.000Z</x:v>
      </x:c>
      <x:c r="B128" s="5" t="n">
        <x:v>2025</x:v>
      </x:c>
      <x:c r="C128" s="1" t="str">
        <x:v>Parks and Recreation</x:v>
      </x:c>
      <x:c r="D128" s="1" t="str">
        <x:v>Assigned operating support</x:v>
      </x:c>
      <x:c r="E128" s="1" t="str">
        <x:v>Funding</x:v>
      </x:c>
      <x:c r="F128" s="4" t="n">
        <x:v>144000</x:v>
      </x:c>
      <x:c r="G128" s="4" t="n">
        <x:v>149095.8</x:v>
      </x:c>
    </x:row>
    <x:row r="129" ht="21" customHeight="1">
      <x:c r="A129" s="2" t="d">
        <x:v>2025-02-01T00:00:00.000Z</x:v>
      </x:c>
      <x:c r="B129" s="5" t="n">
        <x:v>2025</x:v>
      </x:c>
      <x:c r="C129" s="1" t="str">
        <x:v>Parks and Recreation</x:v>
      </x:c>
      <x:c r="D129" s="1" t="str">
        <x:v>Assigned operating support</x:v>
      </x:c>
      <x:c r="E129" s="1" t="str">
        <x:v>Funding</x:v>
      </x:c>
      <x:c r="F129" s="4" t="n">
        <x:v>144000</x:v>
      </x:c>
      <x:c r="G129" s="4" t="n">
        <x:v>144745.43</x:v>
      </x:c>
    </x:row>
    <x:row r="130" ht="21" customHeight="1">
      <x:c r="A130" s="2" t="d">
        <x:v>2025-03-01T00:00:00.000Z</x:v>
      </x:c>
      <x:c r="B130" s="5" t="n">
        <x:v>2025</x:v>
      </x:c>
      <x:c r="C130" s="1" t="str">
        <x:v>Parks and Recreation</x:v>
      </x:c>
      <x:c r="D130" s="1" t="str">
        <x:v>Assigned operating support</x:v>
      </x:c>
      <x:c r="E130" s="1" t="str">
        <x:v>Funding</x:v>
      </x:c>
      <x:c r="F130" s="4" t="n">
        <x:v>144000</x:v>
      </x:c>
      <x:c r="G130" s="4" t="n">
        <x:v>148625.23</x:v>
      </x:c>
    </x:row>
    <x:row r="131" ht="21" customHeight="1">
      <x:c r="A131" s="2" t="d">
        <x:v>2025-04-01T00:00:00.000Z</x:v>
      </x:c>
      <x:c r="B131" s="5" t="n">
        <x:v>2025</x:v>
      </x:c>
      <x:c r="C131" s="1" t="str">
        <x:v>Parks and Recreation</x:v>
      </x:c>
      <x:c r="D131" s="1" t="str">
        <x:v>Assigned operating support</x:v>
      </x:c>
      <x:c r="E131" s="1" t="str">
        <x:v>Funding</x:v>
      </x:c>
      <x:c r="F131" s="4" t="n">
        <x:v>144000</x:v>
      </x:c>
      <x:c r="G131" s="4" t="n">
        <x:v>146827.51</x:v>
      </x:c>
    </x:row>
    <x:row r="132" ht="21" customHeight="1">
      <x:c r="A132" s="2" t="d">
        <x:v>2025-05-01T00:00:00.000Z</x:v>
      </x:c>
      <x:c r="B132" s="5" t="n">
        <x:v>2025</x:v>
      </x:c>
      <x:c r="C132" s="1" t="str">
        <x:v>Parks and Recreation</x:v>
      </x:c>
      <x:c r="D132" s="1" t="str">
        <x:v>Assigned operating support</x:v>
      </x:c>
      <x:c r="E132" s="1" t="str">
        <x:v>Funding</x:v>
      </x:c>
      <x:c r="F132" s="4" t="n">
        <x:v>144000</x:v>
      </x:c>
      <x:c r="G132" s="4" t="n">
        <x:v>149021.2</x:v>
      </x:c>
    </x:row>
    <x:row r="133" ht="21" customHeight="1">
      <x:c r="A133" s="2" t="d">
        <x:v>2025-06-01T00:00:00.000Z</x:v>
      </x:c>
      <x:c r="B133" s="5" t="n">
        <x:v>2025</x:v>
      </x:c>
      <x:c r="C133" s="1" t="str">
        <x:v>Parks and Recreation</x:v>
      </x:c>
      <x:c r="D133" s="1" t="str">
        <x:v>Assigned operating support</x:v>
      </x:c>
      <x:c r="E133" s="1" t="str">
        <x:v>Funding</x:v>
      </x:c>
      <x:c r="F133" s="4" t="n">
        <x:v>144000</x:v>
      </x:c>
      <x:c r="G133" s="4" t="n">
        <x:v>142632.52</x:v>
      </x:c>
    </x:row>
    <x:row r="134" ht="21" customHeight="1">
      <x:c r="A134" s="2" t="d">
        <x:v>2024-07-01T00:00:00.000Z</x:v>
      </x:c>
      <x:c r="B134" s="5" t="n">
        <x:v>2025</x:v>
      </x:c>
      <x:c r="C134" s="1" t="str">
        <x:v>Parks and Recreation</x:v>
      </x:c>
      <x:c r="D134" s="1" t="str">
        <x:v>Service fees</x:v>
      </x:c>
      <x:c r="E134" s="1" t="str">
        <x:v>Funding</x:v>
      </x:c>
      <x:c r="F134" s="4" t="n">
        <x:v>93600</x:v>
      </x:c>
      <x:c r="G134" s="4" t="n">
        <x:v>97649.15</x:v>
      </x:c>
    </x:row>
    <x:row r="135" ht="21" customHeight="1">
      <x:c r="A135" s="2" t="d">
        <x:v>2024-08-01T00:00:00.000Z</x:v>
      </x:c>
      <x:c r="B135" s="5" t="n">
        <x:v>2025</x:v>
      </x:c>
      <x:c r="C135" s="1" t="str">
        <x:v>Parks and Recreation</x:v>
      </x:c>
      <x:c r="D135" s="1" t="str">
        <x:v>Service fees</x:v>
      </x:c>
      <x:c r="E135" s="1" t="str">
        <x:v>Funding</x:v>
      </x:c>
      <x:c r="F135" s="4" t="n">
        <x:v>93600</x:v>
      </x:c>
      <x:c r="G135" s="4" t="n">
        <x:v>94137.34</x:v>
      </x:c>
    </x:row>
    <x:row r="136" ht="21" customHeight="1">
      <x:c r="A136" s="2" t="d">
        <x:v>2024-09-01T00:00:00.000Z</x:v>
      </x:c>
      <x:c r="B136" s="5" t="n">
        <x:v>2025</x:v>
      </x:c>
      <x:c r="C136" s="1" t="str">
        <x:v>Parks and Recreation</x:v>
      </x:c>
      <x:c r="D136" s="1" t="str">
        <x:v>Service fees</x:v>
      </x:c>
      <x:c r="E136" s="1" t="str">
        <x:v>Funding</x:v>
      </x:c>
      <x:c r="F136" s="4" t="n">
        <x:v>79200</x:v>
      </x:c>
      <x:c r="G136" s="4" t="n">
        <x:v>78442.46</x:v>
      </x:c>
    </x:row>
    <x:row r="137" ht="21" customHeight="1">
      <x:c r="A137" s="2" t="d">
        <x:v>2024-10-01T00:00:00.000Z</x:v>
      </x:c>
      <x:c r="B137" s="5" t="n">
        <x:v>2025</x:v>
      </x:c>
      <x:c r="C137" s="1" t="str">
        <x:v>Parks and Recreation</x:v>
      </x:c>
      <x:c r="D137" s="1" t="str">
        <x:v>Service fees</x:v>
      </x:c>
      <x:c r="E137" s="1" t="str">
        <x:v>Funding</x:v>
      </x:c>
      <x:c r="F137" s="4" t="n">
        <x:v>64800</x:v>
      </x:c>
      <x:c r="G137" s="4" t="n">
        <x:v>67696.89</x:v>
      </x:c>
    </x:row>
    <x:row r="138" ht="21" customHeight="1">
      <x:c r="A138" s="2" t="d">
        <x:v>2024-11-01T00:00:00.000Z</x:v>
      </x:c>
      <x:c r="B138" s="5" t="n">
        <x:v>2025</x:v>
      </x:c>
      <x:c r="C138" s="1" t="str">
        <x:v>Parks and Recreation</x:v>
      </x:c>
      <x:c r="D138" s="1" t="str">
        <x:v>Service fees</x:v>
      </x:c>
      <x:c r="E138" s="1" t="str">
        <x:v>Funding</x:v>
      </x:c>
      <x:c r="F138" s="4" t="n">
        <x:v>61200</x:v>
      </x:c>
      <x:c r="G138" s="4" t="n">
        <x:v>60352.41</x:v>
      </x:c>
    </x:row>
    <x:row r="139" ht="21" customHeight="1">
      <x:c r="A139" s="2" t="d">
        <x:v>2024-12-01T00:00:00.000Z</x:v>
      </x:c>
      <x:c r="B139" s="5" t="n">
        <x:v>2025</x:v>
      </x:c>
      <x:c r="C139" s="1" t="str">
        <x:v>Parks and Recreation</x:v>
      </x:c>
      <x:c r="D139" s="1" t="str">
        <x:v>Service fees</x:v>
      </x:c>
      <x:c r="E139" s="1" t="str">
        <x:v>Funding</x:v>
      </x:c>
      <x:c r="F139" s="4" t="n">
        <x:v>57600</x:v>
      </x:c>
      <x:c r="G139" s="4" t="n">
        <x:v>57985.67</x:v>
      </x:c>
    </x:row>
    <x:row r="140" ht="21" customHeight="1">
      <x:c r="A140" s="2" t="d">
        <x:v>2025-01-01T00:00:00.000Z</x:v>
      </x:c>
      <x:c r="B140" s="5" t="n">
        <x:v>2025</x:v>
      </x:c>
      <x:c r="C140" s="1" t="str">
        <x:v>Parks and Recreation</x:v>
      </x:c>
      <x:c r="D140" s="1" t="str">
        <x:v>Service fees</x:v>
      </x:c>
      <x:c r="E140" s="1" t="str">
        <x:v>Funding</x:v>
      </x:c>
      <x:c r="F140" s="4" t="n">
        <x:v>57600</x:v>
      </x:c>
      <x:c r="G140" s="4" t="n">
        <x:v>58814.4</x:v>
      </x:c>
    </x:row>
    <x:row r="141" ht="21" customHeight="1">
      <x:c r="A141" s="2" t="d">
        <x:v>2025-02-01T00:00:00.000Z</x:v>
      </x:c>
      <x:c r="B141" s="5" t="n">
        <x:v>2025</x:v>
      </x:c>
      <x:c r="C141" s="1" t="str">
        <x:v>Parks and Recreation</x:v>
      </x:c>
      <x:c r="D141" s="1" t="str">
        <x:v>Service fees</x:v>
      </x:c>
      <x:c r="E141" s="1" t="str">
        <x:v>Funding</x:v>
      </x:c>
      <x:c r="F141" s="4" t="n">
        <x:v>61200</x:v>
      </x:c>
      <x:c r="G141" s="4" t="n">
        <x:v>62263.02</x:v>
      </x:c>
    </x:row>
    <x:row r="142" ht="21" customHeight="1">
      <x:c r="A142" s="2" t="d">
        <x:v>2025-03-01T00:00:00.000Z</x:v>
      </x:c>
      <x:c r="B142" s="5" t="n">
        <x:v>2025</x:v>
      </x:c>
      <x:c r="C142" s="1" t="str">
        <x:v>Parks and Recreation</x:v>
      </x:c>
      <x:c r="D142" s="1" t="str">
        <x:v>Service fees</x:v>
      </x:c>
      <x:c r="E142" s="1" t="str">
        <x:v>Funding</x:v>
      </x:c>
      <x:c r="F142" s="4" t="n">
        <x:v>68400</x:v>
      </x:c>
      <x:c r="G142" s="4" t="n">
        <x:v>68396.18</x:v>
      </x:c>
    </x:row>
    <x:row r="143" ht="21" customHeight="1">
      <x:c r="A143" s="2" t="d">
        <x:v>2025-04-01T00:00:00.000Z</x:v>
      </x:c>
      <x:c r="B143" s="5" t="n">
        <x:v>2025</x:v>
      </x:c>
      <x:c r="C143" s="1" t="str">
        <x:v>Parks and Recreation</x:v>
      </x:c>
      <x:c r="D143" s="1" t="str">
        <x:v>Service fees</x:v>
      </x:c>
      <x:c r="E143" s="1" t="str">
        <x:v>Funding</x:v>
      </x:c>
      <x:c r="F143" s="4" t="n">
        <x:v>72000</x:v>
      </x:c>
      <x:c r="G143" s="4" t="n">
        <x:v>71920.15</x:v>
      </x:c>
    </x:row>
    <x:row r="144" ht="21" customHeight="1">
      <x:c r="A144" s="2" t="d">
        <x:v>2025-05-01T00:00:00.000Z</x:v>
      </x:c>
      <x:c r="B144" s="5" t="n">
        <x:v>2025</x:v>
      </x:c>
      <x:c r="C144" s="1" t="str">
        <x:v>Parks and Recreation</x:v>
      </x:c>
      <x:c r="D144" s="1" t="str">
        <x:v>Service fees</x:v>
      </x:c>
      <x:c r="E144" s="1" t="str">
        <x:v>Funding</x:v>
      </x:c>
      <x:c r="F144" s="4" t="n">
        <x:v>75600</x:v>
      </x:c>
      <x:c r="G144" s="4" t="n">
        <x:v>73461.04</x:v>
      </x:c>
    </x:row>
    <x:row r="145" ht="21" customHeight="1">
      <x:c r="A145" s="2" t="d">
        <x:v>2025-06-01T00:00:00.000Z</x:v>
      </x:c>
      <x:c r="B145" s="5" t="n">
        <x:v>2025</x:v>
      </x:c>
      <x:c r="C145" s="1" t="str">
        <x:v>Parks and Recreation</x:v>
      </x:c>
      <x:c r="D145" s="1" t="str">
        <x:v>Service fees</x:v>
      </x:c>
      <x:c r="E145" s="1" t="str">
        <x:v>Funding</x:v>
      </x:c>
      <x:c r="F145" s="4" t="n">
        <x:v>79200</x:v>
      </x:c>
      <x:c r="G145" s="4" t="n">
        <x:v>77201.29</x:v>
      </x:c>
    </x:row>
    <x:row r="146" ht="21" customHeight="1">
      <x:c r="A146" s="2" t="d">
        <x:v>2024-07-01T00:00:00.000Z</x:v>
      </x:c>
      <x:c r="B146" s="5" t="n">
        <x:v>2025</x:v>
      </x:c>
      <x:c r="C146" s="1" t="str">
        <x:v>Parks and Recreation</x:v>
      </x:c>
      <x:c r="D146" s="1" t="str">
        <x:v>Personnel</x:v>
      </x:c>
      <x:c r="E146" s="1" t="str">
        <x:v>Expense</x:v>
      </x:c>
      <x:c r="F146" s="4" t="n">
        <x:v>136000</x:v>
      </x:c>
      <x:c r="G146" s="4" t="n">
        <x:v>136111.1</x:v>
      </x:c>
    </x:row>
    <x:row r="147" ht="21" customHeight="1">
      <x:c r="A147" s="2" t="d">
        <x:v>2024-08-01T00:00:00.000Z</x:v>
      </x:c>
      <x:c r="B147" s="5" t="n">
        <x:v>2025</x:v>
      </x:c>
      <x:c r="C147" s="1" t="str">
        <x:v>Parks and Recreation</x:v>
      </x:c>
      <x:c r="D147" s="1" t="str">
        <x:v>Personnel</x:v>
      </x:c>
      <x:c r="E147" s="1" t="str">
        <x:v>Expense</x:v>
      </x:c>
      <x:c r="F147" s="4" t="n">
        <x:v>136000</x:v>
      </x:c>
      <x:c r="G147" s="4" t="n">
        <x:v>139196.87</x:v>
      </x:c>
    </x:row>
    <x:row r="148" ht="21" customHeight="1">
      <x:c r="A148" s="2" t="d">
        <x:v>2024-09-01T00:00:00.000Z</x:v>
      </x:c>
      <x:c r="B148" s="5" t="n">
        <x:v>2025</x:v>
      </x:c>
      <x:c r="C148" s="1" t="str">
        <x:v>Parks and Recreation</x:v>
      </x:c>
      <x:c r="D148" s="1" t="str">
        <x:v>Personnel</x:v>
      </x:c>
      <x:c r="E148" s="1" t="str">
        <x:v>Expense</x:v>
      </x:c>
      <x:c r="F148" s="4" t="n">
        <x:v>136000</x:v>
      </x:c>
      <x:c r="G148" s="4" t="n">
        <x:v>141244.89</x:v>
      </x:c>
    </x:row>
    <x:row r="149" ht="21" customHeight="1">
      <x:c r="A149" s="2" t="d">
        <x:v>2024-10-01T00:00:00.000Z</x:v>
      </x:c>
      <x:c r="B149" s="5" t="n">
        <x:v>2025</x:v>
      </x:c>
      <x:c r="C149" s="1" t="str">
        <x:v>Parks and Recreation</x:v>
      </x:c>
      <x:c r="D149" s="1" t="str">
        <x:v>Personnel</x:v>
      </x:c>
      <x:c r="E149" s="1" t="str">
        <x:v>Expense</x:v>
      </x:c>
      <x:c r="F149" s="4" t="n">
        <x:v>136000</x:v>
      </x:c>
      <x:c r="G149" s="4" t="n">
        <x:v>136293.51</x:v>
      </x:c>
    </x:row>
    <x:row r="150" ht="21" customHeight="1">
      <x:c r="A150" s="2" t="d">
        <x:v>2024-11-01T00:00:00.000Z</x:v>
      </x:c>
      <x:c r="B150" s="5" t="n">
        <x:v>2025</x:v>
      </x:c>
      <x:c r="C150" s="1" t="str">
        <x:v>Parks and Recreation</x:v>
      </x:c>
      <x:c r="D150" s="1" t="str">
        <x:v>Personnel</x:v>
      </x:c>
      <x:c r="E150" s="1" t="str">
        <x:v>Expense</x:v>
      </x:c>
      <x:c r="F150" s="4" t="n">
        <x:v>136000</x:v>
      </x:c>
      <x:c r="G150" s="4" t="n">
        <x:v>136603.64</x:v>
      </x:c>
    </x:row>
    <x:row r="151" ht="21" customHeight="1">
      <x:c r="A151" s="2" t="d">
        <x:v>2024-12-01T00:00:00.000Z</x:v>
      </x:c>
      <x:c r="B151" s="5" t="n">
        <x:v>2025</x:v>
      </x:c>
      <x:c r="C151" s="1" t="str">
        <x:v>Parks and Recreation</x:v>
      </x:c>
      <x:c r="D151" s="1" t="str">
        <x:v>Personnel</x:v>
      </x:c>
      <x:c r="E151" s="1" t="str">
        <x:v>Expense</x:v>
      </x:c>
      <x:c r="F151" s="4" t="n">
        <x:v>136000</x:v>
      </x:c>
      <x:c r="G151" s="4" t="n">
        <x:v>135601.21</x:v>
      </x:c>
    </x:row>
    <x:row r="152" ht="21" customHeight="1">
      <x:c r="A152" s="2" t="d">
        <x:v>2025-01-01T00:00:00.000Z</x:v>
      </x:c>
      <x:c r="B152" s="5" t="n">
        <x:v>2025</x:v>
      </x:c>
      <x:c r="C152" s="1" t="str">
        <x:v>Parks and Recreation</x:v>
      </x:c>
      <x:c r="D152" s="1" t="str">
        <x:v>Personnel</x:v>
      </x:c>
      <x:c r="E152" s="1" t="str">
        <x:v>Expense</x:v>
      </x:c>
      <x:c r="F152" s="4" t="n">
        <x:v>136000</x:v>
      </x:c>
      <x:c r="G152" s="4" t="n">
        <x:v>139761.58</x:v>
      </x:c>
    </x:row>
    <x:row r="153" ht="21" customHeight="1">
      <x:c r="A153" s="2" t="d">
        <x:v>2025-02-01T00:00:00.000Z</x:v>
      </x:c>
      <x:c r="B153" s="5" t="n">
        <x:v>2025</x:v>
      </x:c>
      <x:c r="C153" s="1" t="str">
        <x:v>Parks and Recreation</x:v>
      </x:c>
      <x:c r="D153" s="1" t="str">
        <x:v>Personnel</x:v>
      </x:c>
      <x:c r="E153" s="1" t="str">
        <x:v>Expense</x:v>
      </x:c>
      <x:c r="F153" s="4" t="n">
        <x:v>136000</x:v>
      </x:c>
      <x:c r="G153" s="4" t="n">
        <x:v>132257.48</x:v>
      </x:c>
    </x:row>
    <x:row r="154" ht="21" customHeight="1">
      <x:c r="A154" s="2" t="d">
        <x:v>2025-03-01T00:00:00.000Z</x:v>
      </x:c>
      <x:c r="B154" s="5" t="n">
        <x:v>2025</x:v>
      </x:c>
      <x:c r="C154" s="1" t="str">
        <x:v>Parks and Recreation</x:v>
      </x:c>
      <x:c r="D154" s="1" t="str">
        <x:v>Personnel</x:v>
      </x:c>
      <x:c r="E154" s="1" t="str">
        <x:v>Expense</x:v>
      </x:c>
      <x:c r="F154" s="4" t="n">
        <x:v>136000</x:v>
      </x:c>
      <x:c r="G154" s="4" t="n">
        <x:v>131492.84</x:v>
      </x:c>
    </x:row>
    <x:row r="155" ht="21" customHeight="1">
      <x:c r="A155" s="2" t="d">
        <x:v>2025-04-01T00:00:00.000Z</x:v>
      </x:c>
      <x:c r="B155" s="5" t="n">
        <x:v>2025</x:v>
      </x:c>
      <x:c r="C155" s="1" t="str">
        <x:v>Parks and Recreation</x:v>
      </x:c>
      <x:c r="D155" s="1" t="str">
        <x:v>Personnel</x:v>
      </x:c>
      <x:c r="E155" s="1" t="str">
        <x:v>Expense</x:v>
      </x:c>
      <x:c r="F155" s="4" t="n">
        <x:v>136000</x:v>
      </x:c>
      <x:c r="G155" s="4" t="n">
        <x:v>138093.8</x:v>
      </x:c>
    </x:row>
    <x:row r="156" ht="21" customHeight="1">
      <x:c r="A156" s="2" t="d">
        <x:v>2025-05-01T00:00:00.000Z</x:v>
      </x:c>
      <x:c r="B156" s="5" t="n">
        <x:v>2025</x:v>
      </x:c>
      <x:c r="C156" s="1" t="str">
        <x:v>Parks and Recreation</x:v>
      </x:c>
      <x:c r="D156" s="1" t="str">
        <x:v>Personnel</x:v>
      </x:c>
      <x:c r="E156" s="1" t="str">
        <x:v>Expense</x:v>
      </x:c>
      <x:c r="F156" s="4" t="n">
        <x:v>136000</x:v>
      </x:c>
      <x:c r="G156" s="4" t="n">
        <x:v>134364.19</x:v>
      </x:c>
    </x:row>
    <x:row r="157" ht="21" customHeight="1">
      <x:c r="A157" s="2" t="d">
        <x:v>2025-06-01T00:00:00.000Z</x:v>
      </x:c>
      <x:c r="B157" s="5" t="n">
        <x:v>2025</x:v>
      </x:c>
      <x:c r="C157" s="1" t="str">
        <x:v>Parks and Recreation</x:v>
      </x:c>
      <x:c r="D157" s="1" t="str">
        <x:v>Personnel</x:v>
      </x:c>
      <x:c r="E157" s="1" t="str">
        <x:v>Expense</x:v>
      </x:c>
      <x:c r="F157" s="4" t="n">
        <x:v>136000</x:v>
      </x:c>
      <x:c r="G157" s="4" t="n">
        <x:v>139138.89</x:v>
      </x:c>
    </x:row>
    <x:row r="158" ht="21" customHeight="1">
      <x:c r="A158" s="2" t="d">
        <x:v>2024-07-01T00:00:00.000Z</x:v>
      </x:c>
      <x:c r="B158" s="5" t="n">
        <x:v>2025</x:v>
      </x:c>
      <x:c r="C158" s="1" t="str">
        <x:v>Parks and Recreation</x:v>
      </x:c>
      <x:c r="D158" s="1" t="str">
        <x:v>Contract services</x:v>
      </x:c>
      <x:c r="E158" s="1" t="str">
        <x:v>Expense</x:v>
      </x:c>
      <x:c r="F158" s="4" t="n">
        <x:v>44000</x:v>
      </x:c>
      <x:c r="G158" s="4" t="n">
        <x:v>43217.46</x:v>
      </x:c>
    </x:row>
    <x:row r="159" ht="21" customHeight="1">
      <x:c r="A159" s="2" t="d">
        <x:v>2024-08-01T00:00:00.000Z</x:v>
      </x:c>
      <x:c r="B159" s="5" t="n">
        <x:v>2025</x:v>
      </x:c>
      <x:c r="C159" s="1" t="str">
        <x:v>Parks and Recreation</x:v>
      </x:c>
      <x:c r="D159" s="1" t="str">
        <x:v>Contract services</x:v>
      </x:c>
      <x:c r="E159" s="1" t="str">
        <x:v>Expense</x:v>
      </x:c>
      <x:c r="F159" s="4" t="n">
        <x:v>44000</x:v>
      </x:c>
      <x:c r="G159" s="4" t="n">
        <x:v>42808.68</x:v>
      </x:c>
    </x:row>
    <x:row r="160" ht="21" customHeight="1">
      <x:c r="A160" s="2" t="d">
        <x:v>2024-09-01T00:00:00.000Z</x:v>
      </x:c>
      <x:c r="B160" s="5" t="n">
        <x:v>2025</x:v>
      </x:c>
      <x:c r="C160" s="1" t="str">
        <x:v>Parks and Recreation</x:v>
      </x:c>
      <x:c r="D160" s="1" t="str">
        <x:v>Contract services</x:v>
      </x:c>
      <x:c r="E160" s="1" t="str">
        <x:v>Expense</x:v>
      </x:c>
      <x:c r="F160" s="4" t="n">
        <x:v>44000</x:v>
      </x:c>
      <x:c r="G160" s="4" t="n">
        <x:v>44912.14</x:v>
      </x:c>
    </x:row>
    <x:row r="161" ht="21" customHeight="1">
      <x:c r="A161" s="2" t="d">
        <x:v>2024-10-01T00:00:00.000Z</x:v>
      </x:c>
      <x:c r="B161" s="5" t="n">
        <x:v>2025</x:v>
      </x:c>
      <x:c r="C161" s="1" t="str">
        <x:v>Parks and Recreation</x:v>
      </x:c>
      <x:c r="D161" s="1" t="str">
        <x:v>Contract services</x:v>
      </x:c>
      <x:c r="E161" s="1" t="str">
        <x:v>Expense</x:v>
      </x:c>
      <x:c r="F161" s="4" t="n">
        <x:v>44000</x:v>
      </x:c>
      <x:c r="G161" s="4" t="n">
        <x:v>44790.66</x:v>
      </x:c>
    </x:row>
    <x:row r="162" ht="21" customHeight="1">
      <x:c r="A162" s="2" t="d">
        <x:v>2024-11-01T00:00:00.000Z</x:v>
      </x:c>
      <x:c r="B162" s="5" t="n">
        <x:v>2025</x:v>
      </x:c>
      <x:c r="C162" s="1" t="str">
        <x:v>Parks and Recreation</x:v>
      </x:c>
      <x:c r="D162" s="1" t="str">
        <x:v>Contract services</x:v>
      </x:c>
      <x:c r="E162" s="1" t="str">
        <x:v>Expense</x:v>
      </x:c>
      <x:c r="F162" s="4" t="n">
        <x:v>44000</x:v>
      </x:c>
      <x:c r="G162" s="4" t="n">
        <x:v>45062.36</x:v>
      </x:c>
    </x:row>
    <x:row r="163" ht="21" customHeight="1">
      <x:c r="A163" s="2" t="d">
        <x:v>2024-12-01T00:00:00.000Z</x:v>
      </x:c>
      <x:c r="B163" s="5" t="n">
        <x:v>2025</x:v>
      </x:c>
      <x:c r="C163" s="1" t="str">
        <x:v>Parks and Recreation</x:v>
      </x:c>
      <x:c r="D163" s="1" t="str">
        <x:v>Contract services</x:v>
      </x:c>
      <x:c r="E163" s="1" t="str">
        <x:v>Expense</x:v>
      </x:c>
      <x:c r="F163" s="4" t="n">
        <x:v>44000</x:v>
      </x:c>
      <x:c r="G163" s="4" t="n">
        <x:v>45188.94</x:v>
      </x:c>
    </x:row>
    <x:row r="164" ht="21" customHeight="1">
      <x:c r="A164" s="2" t="d">
        <x:v>2025-01-01T00:00:00.000Z</x:v>
      </x:c>
      <x:c r="B164" s="5" t="n">
        <x:v>2025</x:v>
      </x:c>
      <x:c r="C164" s="1" t="str">
        <x:v>Parks and Recreation</x:v>
      </x:c>
      <x:c r="D164" s="1" t="str">
        <x:v>Contract services</x:v>
      </x:c>
      <x:c r="E164" s="1" t="str">
        <x:v>Expense</x:v>
      </x:c>
      <x:c r="F164" s="4" t="n">
        <x:v>44000</x:v>
      </x:c>
      <x:c r="G164" s="4" t="n">
        <x:v>43931.13</x:v>
      </x:c>
    </x:row>
    <x:row r="165" ht="21" customHeight="1">
      <x:c r="A165" s="2" t="d">
        <x:v>2025-02-01T00:00:00.000Z</x:v>
      </x:c>
      <x:c r="B165" s="5" t="n">
        <x:v>2025</x:v>
      </x:c>
      <x:c r="C165" s="1" t="str">
        <x:v>Parks and Recreation</x:v>
      </x:c>
      <x:c r="D165" s="1" t="str">
        <x:v>Contract services</x:v>
      </x:c>
      <x:c r="E165" s="1" t="str">
        <x:v>Expense</x:v>
      </x:c>
      <x:c r="F165" s="4" t="n">
        <x:v>44000</x:v>
      </x:c>
      <x:c r="G165" s="4" t="n">
        <x:v>45306.6</x:v>
      </x:c>
    </x:row>
    <x:row r="166" ht="21" customHeight="1">
      <x:c r="A166" s="2" t="d">
        <x:v>2025-03-01T00:00:00.000Z</x:v>
      </x:c>
      <x:c r="B166" s="5" t="n">
        <x:v>2025</x:v>
      </x:c>
      <x:c r="C166" s="1" t="str">
        <x:v>Parks and Recreation</x:v>
      </x:c>
      <x:c r="D166" s="1" t="str">
        <x:v>Contract services</x:v>
      </x:c>
      <x:c r="E166" s="1" t="str">
        <x:v>Expense</x:v>
      </x:c>
      <x:c r="F166" s="4" t="n">
        <x:v>44000</x:v>
      </x:c>
      <x:c r="G166" s="4" t="n">
        <x:v>42378.6</x:v>
      </x:c>
    </x:row>
    <x:row r="167" ht="21" customHeight="1">
      <x:c r="A167" s="2" t="d">
        <x:v>2025-04-01T00:00:00.000Z</x:v>
      </x:c>
      <x:c r="B167" s="5" t="n">
        <x:v>2025</x:v>
      </x:c>
      <x:c r="C167" s="1" t="str">
        <x:v>Parks and Recreation</x:v>
      </x:c>
      <x:c r="D167" s="1" t="str">
        <x:v>Contract services</x:v>
      </x:c>
      <x:c r="E167" s="1" t="str">
        <x:v>Expense</x:v>
      </x:c>
      <x:c r="F167" s="4" t="n">
        <x:v>44000</x:v>
      </x:c>
      <x:c r="G167" s="4" t="n">
        <x:v>44701.87</x:v>
      </x:c>
    </x:row>
    <x:row r="168" ht="21" customHeight="1">
      <x:c r="A168" s="2" t="d">
        <x:v>2025-05-01T00:00:00.000Z</x:v>
      </x:c>
      <x:c r="B168" s="5" t="n">
        <x:v>2025</x:v>
      </x:c>
      <x:c r="C168" s="1" t="str">
        <x:v>Parks and Recreation</x:v>
      </x:c>
      <x:c r="D168" s="1" t="str">
        <x:v>Contract services</x:v>
      </x:c>
      <x:c r="E168" s="1" t="str">
        <x:v>Expense</x:v>
      </x:c>
      <x:c r="F168" s="4" t="n">
        <x:v>44000</x:v>
      </x:c>
      <x:c r="G168" s="4" t="n">
        <x:v>44210.73</x:v>
      </x:c>
    </x:row>
    <x:row r="169" ht="21" customHeight="1">
      <x:c r="A169" s="2" t="d">
        <x:v>2025-06-01T00:00:00.000Z</x:v>
      </x:c>
      <x:c r="B169" s="5" t="n">
        <x:v>2025</x:v>
      </x:c>
      <x:c r="C169" s="1" t="str">
        <x:v>Parks and Recreation</x:v>
      </x:c>
      <x:c r="D169" s="1" t="str">
        <x:v>Contract services</x:v>
      </x:c>
      <x:c r="E169" s="1" t="str">
        <x:v>Expense</x:v>
      </x:c>
      <x:c r="F169" s="4" t="n">
        <x:v>44000</x:v>
      </x:c>
      <x:c r="G169" s="4" t="n">
        <x:v>44130.83</x:v>
      </x:c>
    </x:row>
    <x:row r="170" ht="21" customHeight="1">
      <x:c r="A170" s="2" t="d">
        <x:v>2024-07-01T00:00:00.000Z</x:v>
      </x:c>
      <x:c r="B170" s="5" t="n">
        <x:v>2025</x:v>
      </x:c>
      <x:c r="C170" s="1" t="str">
        <x:v>Parks and Recreation</x:v>
      </x:c>
      <x:c r="D170" s="1" t="str">
        <x:v>Materials</x:v>
      </x:c>
      <x:c r="E170" s="1" t="str">
        <x:v>Expense</x:v>
      </x:c>
      <x:c r="F170" s="4" t="n">
        <x:v>36400</x:v>
      </x:c>
      <x:c r="G170" s="4" t="n">
        <x:v>36543.86</x:v>
      </x:c>
    </x:row>
    <x:row r="171" ht="21" customHeight="1">
      <x:c r="A171" s="2" t="d">
        <x:v>2024-08-01T00:00:00.000Z</x:v>
      </x:c>
      <x:c r="B171" s="5" t="n">
        <x:v>2025</x:v>
      </x:c>
      <x:c r="C171" s="1" t="str">
        <x:v>Parks and Recreation</x:v>
      </x:c>
      <x:c r="D171" s="1" t="str">
        <x:v>Materials</x:v>
      </x:c>
      <x:c r="E171" s="1" t="str">
        <x:v>Expense</x:v>
      </x:c>
      <x:c r="F171" s="4" t="n">
        <x:v>36400</x:v>
      </x:c>
      <x:c r="G171" s="4" t="n">
        <x:v>37167.97</x:v>
      </x:c>
    </x:row>
    <x:row r="172" ht="21" customHeight="1">
      <x:c r="A172" s="2" t="d">
        <x:v>2024-09-01T00:00:00.000Z</x:v>
      </x:c>
      <x:c r="B172" s="5" t="n">
        <x:v>2025</x:v>
      </x:c>
      <x:c r="C172" s="1" t="str">
        <x:v>Parks and Recreation</x:v>
      </x:c>
      <x:c r="D172" s="1" t="str">
        <x:v>Materials</x:v>
      </x:c>
      <x:c r="E172" s="1" t="str">
        <x:v>Expense</x:v>
      </x:c>
      <x:c r="F172" s="4" t="n">
        <x:v>30800</x:v>
      </x:c>
      <x:c r="G172" s="4" t="n">
        <x:v>32096.26</x:v>
      </x:c>
    </x:row>
    <x:row r="173" ht="21" customHeight="1">
      <x:c r="A173" s="2" t="d">
        <x:v>2024-10-01T00:00:00.000Z</x:v>
      </x:c>
      <x:c r="B173" s="5" t="n">
        <x:v>2025</x:v>
      </x:c>
      <x:c r="C173" s="1" t="str">
        <x:v>Parks and Recreation</x:v>
      </x:c>
      <x:c r="D173" s="1" t="str">
        <x:v>Materials</x:v>
      </x:c>
      <x:c r="E173" s="1" t="str">
        <x:v>Expense</x:v>
      </x:c>
      <x:c r="F173" s="4" t="n">
        <x:v>25200</x:v>
      </x:c>
      <x:c r="G173" s="4" t="n">
        <x:v>25255.07</x:v>
      </x:c>
    </x:row>
    <x:row r="174" ht="21" customHeight="1">
      <x:c r="A174" s="2" t="d">
        <x:v>2024-11-01T00:00:00.000Z</x:v>
      </x:c>
      <x:c r="B174" s="5" t="n">
        <x:v>2025</x:v>
      </x:c>
      <x:c r="C174" s="1" t="str">
        <x:v>Parks and Recreation</x:v>
      </x:c>
      <x:c r="D174" s="1" t="str">
        <x:v>Materials</x:v>
      </x:c>
      <x:c r="E174" s="1" t="str">
        <x:v>Expense</x:v>
      </x:c>
      <x:c r="F174" s="4" t="n">
        <x:v>23800</x:v>
      </x:c>
      <x:c r="G174" s="4" t="n">
        <x:v>23742.8</x:v>
      </x:c>
    </x:row>
    <x:row r="175" ht="21" customHeight="1">
      <x:c r="A175" s="2" t="d">
        <x:v>2024-12-01T00:00:00.000Z</x:v>
      </x:c>
      <x:c r="B175" s="5" t="n">
        <x:v>2025</x:v>
      </x:c>
      <x:c r="C175" s="1" t="str">
        <x:v>Parks and Recreation</x:v>
      </x:c>
      <x:c r="D175" s="1" t="str">
        <x:v>Materials</x:v>
      </x:c>
      <x:c r="E175" s="1" t="str">
        <x:v>Expense</x:v>
      </x:c>
      <x:c r="F175" s="4" t="n">
        <x:v>22400</x:v>
      </x:c>
      <x:c r="G175" s="4" t="n">
        <x:v>22421.21</x:v>
      </x:c>
    </x:row>
    <x:row r="176" ht="21" customHeight="1">
      <x:c r="A176" s="2" t="d">
        <x:v>2025-01-01T00:00:00.000Z</x:v>
      </x:c>
      <x:c r="B176" s="5" t="n">
        <x:v>2025</x:v>
      </x:c>
      <x:c r="C176" s="1" t="str">
        <x:v>Parks and Recreation</x:v>
      </x:c>
      <x:c r="D176" s="1" t="str">
        <x:v>Materials</x:v>
      </x:c>
      <x:c r="E176" s="1" t="str">
        <x:v>Expense</x:v>
      </x:c>
      <x:c r="F176" s="4" t="n">
        <x:v>22400</x:v>
      </x:c>
      <x:c r="G176" s="4" t="n">
        <x:v>21781.52</x:v>
      </x:c>
    </x:row>
    <x:row r="177" ht="21" customHeight="1">
      <x:c r="A177" s="2" t="d">
        <x:v>2025-02-01T00:00:00.000Z</x:v>
      </x:c>
      <x:c r="B177" s="5" t="n">
        <x:v>2025</x:v>
      </x:c>
      <x:c r="C177" s="1" t="str">
        <x:v>Parks and Recreation</x:v>
      </x:c>
      <x:c r="D177" s="1" t="str">
        <x:v>Materials</x:v>
      </x:c>
      <x:c r="E177" s="1" t="str">
        <x:v>Expense</x:v>
      </x:c>
      <x:c r="F177" s="4" t="n">
        <x:v>23800</x:v>
      </x:c>
      <x:c r="G177" s="4" t="n">
        <x:v>23298.97</x:v>
      </x:c>
    </x:row>
    <x:row r="178" ht="21" customHeight="1">
      <x:c r="A178" s="2" t="d">
        <x:v>2025-03-01T00:00:00.000Z</x:v>
      </x:c>
      <x:c r="B178" s="5" t="n">
        <x:v>2025</x:v>
      </x:c>
      <x:c r="C178" s="1" t="str">
        <x:v>Parks and Recreation</x:v>
      </x:c>
      <x:c r="D178" s="1" t="str">
        <x:v>Materials</x:v>
      </x:c>
      <x:c r="E178" s="1" t="str">
        <x:v>Expense</x:v>
      </x:c>
      <x:c r="F178" s="4" t="n">
        <x:v>26600</x:v>
      </x:c>
      <x:c r="G178" s="4" t="n">
        <x:v>26761.52</x:v>
      </x:c>
    </x:row>
    <x:row r="179" ht="21" customHeight="1">
      <x:c r="A179" s="2" t="d">
        <x:v>2025-04-01T00:00:00.000Z</x:v>
      </x:c>
      <x:c r="B179" s="5" t="n">
        <x:v>2025</x:v>
      </x:c>
      <x:c r="C179" s="1" t="str">
        <x:v>Parks and Recreation</x:v>
      </x:c>
      <x:c r="D179" s="1" t="str">
        <x:v>Materials</x:v>
      </x:c>
      <x:c r="E179" s="1" t="str">
        <x:v>Expense</x:v>
      </x:c>
      <x:c r="F179" s="4" t="n">
        <x:v>28000</x:v>
      </x:c>
      <x:c r="G179" s="4" t="n">
        <x:v>27107.33</x:v>
      </x:c>
    </x:row>
    <x:row r="180" ht="21" customHeight="1">
      <x:c r="A180" s="2" t="d">
        <x:v>2025-05-01T00:00:00.000Z</x:v>
      </x:c>
      <x:c r="B180" s="5" t="n">
        <x:v>2025</x:v>
      </x:c>
      <x:c r="C180" s="1" t="str">
        <x:v>Parks and Recreation</x:v>
      </x:c>
      <x:c r="D180" s="1" t="str">
        <x:v>Materials</x:v>
      </x:c>
      <x:c r="E180" s="1" t="str">
        <x:v>Expense</x:v>
      </x:c>
      <x:c r="F180" s="4" t="n">
        <x:v>29400</x:v>
      </x:c>
      <x:c r="G180" s="4" t="n">
        <x:v>30564.95</x:v>
      </x:c>
    </x:row>
    <x:row r="181" ht="21" customHeight="1">
      <x:c r="A181" s="2" t="d">
        <x:v>2025-06-01T00:00:00.000Z</x:v>
      </x:c>
      <x:c r="B181" s="5" t="n">
        <x:v>2025</x:v>
      </x:c>
      <x:c r="C181" s="1" t="str">
        <x:v>Parks and Recreation</x:v>
      </x:c>
      <x:c r="D181" s="1" t="str">
        <x:v>Materials</x:v>
      </x:c>
      <x:c r="E181" s="1" t="str">
        <x:v>Expense</x:v>
      </x:c>
      <x:c r="F181" s="4" t="n">
        <x:v>30800</x:v>
      </x:c>
      <x:c r="G181" s="4" t="n">
        <x:v>30938.54</x:v>
      </x:c>
    </x:row>
    <x:row r="182" ht="21" customHeight="1">
      <x:c r="A182" s="2" t="d">
        <x:v>2025-07-01T00:00:00.000Z</x:v>
      </x:c>
      <x:c r="B182" s="5" t="n">
        <x:v>2026</x:v>
      </x:c>
      <x:c r="C182" s="1" t="str">
        <x:v>Finance</x:v>
      </x:c>
      <x:c r="D182" s="1" t="str">
        <x:v>Assigned operating support</x:v>
      </x:c>
      <x:c r="E182" s="1" t="str">
        <x:v>Funding</x:v>
      </x:c>
      <x:c r="F182" s="4" t="n">
        <x:v>79166.67</x:v>
      </x:c>
      <x:c r="G182" s="4" t="n">
        <x:v>76264.57</x:v>
      </x:c>
    </x:row>
    <x:row r="183" ht="21" customHeight="1">
      <x:c r="A183" s="2" t="d">
        <x:v>2025-08-01T00:00:00.000Z</x:v>
      </x:c>
      <x:c r="B183" s="5" t="n">
        <x:v>2026</x:v>
      </x:c>
      <x:c r="C183" s="1" t="str">
        <x:v>Finance</x:v>
      </x:c>
      <x:c r="D183" s="1" t="str">
        <x:v>Assigned operating support</x:v>
      </x:c>
      <x:c r="E183" s="1" t="str">
        <x:v>Funding</x:v>
      </x:c>
      <x:c r="F183" s="4" t="n">
        <x:v>79166.67</x:v>
      </x:c>
      <x:c r="G183" s="4" t="n">
        <x:v>81837.81</x:v>
      </x:c>
    </x:row>
    <x:row r="184" ht="21" customHeight="1">
      <x:c r="A184" s="2" t="d">
        <x:v>2025-09-01T00:00:00.000Z</x:v>
      </x:c>
      <x:c r="B184" s="5" t="n">
        <x:v>2026</x:v>
      </x:c>
      <x:c r="C184" s="1" t="str">
        <x:v>Finance</x:v>
      </x:c>
      <x:c r="D184" s="1" t="str">
        <x:v>Assigned operating support</x:v>
      </x:c>
      <x:c r="E184" s="1" t="str">
        <x:v>Funding</x:v>
      </x:c>
      <x:c r="F184" s="4" t="n">
        <x:v>79166.67</x:v>
      </x:c>
      <x:c r="G184" s="4" t="n">
        <x:v>79165.88</x:v>
      </x:c>
    </x:row>
    <x:row r="185" ht="21" customHeight="1">
      <x:c r="A185" s="2" t="d">
        <x:v>2025-10-01T00:00:00.000Z</x:v>
      </x:c>
      <x:c r="B185" s="5" t="n">
        <x:v>2026</x:v>
      </x:c>
      <x:c r="C185" s="1" t="str">
        <x:v>Finance</x:v>
      </x:c>
      <x:c r="D185" s="1" t="str">
        <x:v>Assigned operating support</x:v>
      </x:c>
      <x:c r="E185" s="1" t="str">
        <x:v>Funding</x:v>
      </x:c>
      <x:c r="F185" s="4" t="n">
        <x:v>79166.67</x:v>
      </x:c>
      <x:c r="G185" s="4" t="n">
        <x:v>79270.77</x:v>
      </x:c>
    </x:row>
    <x:row r="186" ht="21" customHeight="1">
      <x:c r="A186" s="2" t="d">
        <x:v>2025-11-01T00:00:00.000Z</x:v>
      </x:c>
      <x:c r="B186" s="5" t="n">
        <x:v>2026</x:v>
      </x:c>
      <x:c r="C186" s="1" t="str">
        <x:v>Finance</x:v>
      </x:c>
      <x:c r="D186" s="1" t="str">
        <x:v>Assigned operating support</x:v>
      </x:c>
      <x:c r="E186" s="1" t="str">
        <x:v>Funding</x:v>
      </x:c>
      <x:c r="F186" s="4" t="n">
        <x:v>79166.67</x:v>
      </x:c>
      <x:c r="G186" s="4" t="n">
        <x:v>76871.45</x:v>
      </x:c>
    </x:row>
    <x:row r="187" ht="21" customHeight="1">
      <x:c r="A187" s="2" t="d">
        <x:v>2025-12-01T00:00:00.000Z</x:v>
      </x:c>
      <x:c r="B187" s="5" t="n">
        <x:v>2026</x:v>
      </x:c>
      <x:c r="C187" s="1" t="str">
        <x:v>Finance</x:v>
      </x:c>
      <x:c r="D187" s="1" t="str">
        <x:v>Assigned operating support</x:v>
      </x:c>
      <x:c r="E187" s="1" t="str">
        <x:v>Funding</x:v>
      </x:c>
      <x:c r="F187" s="4" t="n">
        <x:v>79166.67</x:v>
      </x:c>
      <x:c r="G187" s="4" t="n">
        <x:v>80542.56</x:v>
      </x:c>
    </x:row>
    <x:row r="188" ht="21" customHeight="1">
      <x:c r="A188" s="2" t="d">
        <x:v>2026-01-01T00:00:00.000Z</x:v>
      </x:c>
      <x:c r="B188" s="5" t="n">
        <x:v>2026</x:v>
      </x:c>
      <x:c r="C188" s="1" t="str">
        <x:v>Finance</x:v>
      </x:c>
      <x:c r="D188" s="1" t="str">
        <x:v>Assigned operating support</x:v>
      </x:c>
      <x:c r="E188" s="1" t="str">
        <x:v>Funding</x:v>
      </x:c>
      <x:c r="F188" s="4" t="n">
        <x:v>79166.67</x:v>
      </x:c>
      <x:c r="G188" s="4" t="n">
        <x:v>76322.04</x:v>
      </x:c>
    </x:row>
    <x:row r="189" ht="21" customHeight="1">
      <x:c r="A189" s="2" t="d">
        <x:v>2026-02-01T00:00:00.000Z</x:v>
      </x:c>
      <x:c r="B189" s="5" t="n">
        <x:v>2026</x:v>
      </x:c>
      <x:c r="C189" s="1" t="str">
        <x:v>Finance</x:v>
      </x:c>
      <x:c r="D189" s="1" t="str">
        <x:v>Assigned operating support</x:v>
      </x:c>
      <x:c r="E189" s="1" t="str">
        <x:v>Funding</x:v>
      </x:c>
      <x:c r="F189" s="4" t="n">
        <x:v>79166.67</x:v>
      </x:c>
      <x:c r="G189" s="4" t="n">
        <x:v>77697.38</x:v>
      </x:c>
    </x:row>
    <x:row r="190" ht="21" customHeight="1">
      <x:c r="A190" s="2" t="d">
        <x:v>2026-03-01T00:00:00.000Z</x:v>
      </x:c>
      <x:c r="B190" s="5" t="n">
        <x:v>2026</x:v>
      </x:c>
      <x:c r="C190" s="1" t="str">
        <x:v>Finance</x:v>
      </x:c>
      <x:c r="D190" s="1" t="str">
        <x:v>Assigned operating support</x:v>
      </x:c>
      <x:c r="E190" s="1" t="str">
        <x:v>Funding</x:v>
      </x:c>
      <x:c r="F190" s="4" t="n">
        <x:v>79166.67</x:v>
      </x:c>
      <x:c r="G190" s="4" t="n">
        <x:v>78682.21</x:v>
      </x:c>
    </x:row>
    <x:row r="191" ht="21" customHeight="1">
      <x:c r="A191" s="2" t="d">
        <x:v>2026-04-01T00:00:00.000Z</x:v>
      </x:c>
      <x:c r="B191" s="5" t="n">
        <x:v>2026</x:v>
      </x:c>
      <x:c r="C191" s="1" t="str">
        <x:v>Finance</x:v>
      </x:c>
      <x:c r="D191" s="1" t="str">
        <x:v>Assigned operating support</x:v>
      </x:c>
      <x:c r="E191" s="1" t="str">
        <x:v>Funding</x:v>
      </x:c>
      <x:c r="F191" s="4" t="n">
        <x:v>79166.67</x:v>
      </x:c>
      <x:c r="G191" s="4" t="n">
        <x:v>80339.55</x:v>
      </x:c>
    </x:row>
    <x:row r="192" ht="21" customHeight="1">
      <x:c r="A192" s="2" t="d">
        <x:v>2026-05-01T00:00:00.000Z</x:v>
      </x:c>
      <x:c r="B192" s="5" t="n">
        <x:v>2026</x:v>
      </x:c>
      <x:c r="C192" s="1" t="str">
        <x:v>Finance</x:v>
      </x:c>
      <x:c r="D192" s="1" t="str">
        <x:v>Assigned operating support</x:v>
      </x:c>
      <x:c r="E192" s="1" t="str">
        <x:v>Funding</x:v>
      </x:c>
      <x:c r="F192" s="4" t="n">
        <x:v>79166.67</x:v>
      </x:c>
      <x:c r="G192" s="4" t="n">
        <x:v>77227.52</x:v>
      </x:c>
    </x:row>
    <x:row r="193" ht="21" customHeight="1">
      <x:c r="A193" s="2" t="d">
        <x:v>2026-06-01T00:00:00.000Z</x:v>
      </x:c>
      <x:c r="B193" s="5" t="n">
        <x:v>2026</x:v>
      </x:c>
      <x:c r="C193" s="1" t="str">
        <x:v>Finance</x:v>
      </x:c>
      <x:c r="D193" s="1" t="str">
        <x:v>Assigned operating support</x:v>
      </x:c>
      <x:c r="E193" s="1" t="str">
        <x:v>Funding</x:v>
      </x:c>
      <x:c r="F193" s="4" t="n">
        <x:v>79166.63</x:v>
      </x:c>
      <x:c r="G193" s="4" t="n">
        <x:v>76278.26</x:v>
      </x:c>
    </x:row>
    <x:row r="194" ht="21" customHeight="1">
      <x:c r="A194" s="2" t="d">
        <x:v>2025-07-01T00:00:00.000Z</x:v>
      </x:c>
      <x:c r="B194" s="5" t="n">
        <x:v>2026</x:v>
      </x:c>
      <x:c r="C194" s="1" t="str">
        <x:v>Finance</x:v>
      </x:c>
      <x:c r="D194" s="1" t="str">
        <x:v>Service fees</x:v>
      </x:c>
      <x:c r="E194" s="1" t="str">
        <x:v>Funding</x:v>
      </x:c>
      <x:c r="F194" s="4" t="n">
        <x:v>16250</x:v>
      </x:c>
      <x:c r="G194" s="4" t="n">
        <x:v>17212.85</x:v>
      </x:c>
    </x:row>
    <x:row r="195" ht="21" customHeight="1">
      <x:c r="A195" s="2" t="d">
        <x:v>2025-08-01T00:00:00.000Z</x:v>
      </x:c>
      <x:c r="B195" s="5" t="n">
        <x:v>2026</x:v>
      </x:c>
      <x:c r="C195" s="1" t="str">
        <x:v>Finance</x:v>
      </x:c>
      <x:c r="D195" s="1" t="str">
        <x:v>Service fees</x:v>
      </x:c>
      <x:c r="E195" s="1" t="str">
        <x:v>Funding</x:v>
      </x:c>
      <x:c r="F195" s="4" t="n">
        <x:v>16250</x:v>
      </x:c>
      <x:c r="G195" s="4" t="n">
        <x:v>17033.63</x:v>
      </x:c>
    </x:row>
    <x:row r="196" ht="21" customHeight="1">
      <x:c r="A196" s="2" t="d">
        <x:v>2025-09-01T00:00:00.000Z</x:v>
      </x:c>
      <x:c r="B196" s="5" t="n">
        <x:v>2026</x:v>
      </x:c>
      <x:c r="C196" s="1" t="str">
        <x:v>Finance</x:v>
      </x:c>
      <x:c r="D196" s="1" t="str">
        <x:v>Service fees</x:v>
      </x:c>
      <x:c r="E196" s="1" t="str">
        <x:v>Funding</x:v>
      </x:c>
      <x:c r="F196" s="4" t="n">
        <x:v>13750</x:v>
      </x:c>
      <x:c r="G196" s="4" t="n">
        <x:v>14049.53</x:v>
      </x:c>
    </x:row>
    <x:row r="197" ht="21" customHeight="1">
      <x:c r="A197" s="2" t="d">
        <x:v>2025-10-01T00:00:00.000Z</x:v>
      </x:c>
      <x:c r="B197" s="5" t="n">
        <x:v>2026</x:v>
      </x:c>
      <x:c r="C197" s="1" t="str">
        <x:v>Finance</x:v>
      </x:c>
      <x:c r="D197" s="1" t="str">
        <x:v>Service fees</x:v>
      </x:c>
      <x:c r="E197" s="1" t="str">
        <x:v>Funding</x:v>
      </x:c>
      <x:c r="F197" s="4" t="n">
        <x:v>11250</x:v>
      </x:c>
      <x:c r="G197" s="4" t="n">
        <x:v>11309.55</x:v>
      </x:c>
    </x:row>
    <x:row r="198" ht="21" customHeight="1">
      <x:c r="A198" s="2" t="d">
        <x:v>2025-11-01T00:00:00.000Z</x:v>
      </x:c>
      <x:c r="B198" s="5" t="n">
        <x:v>2026</x:v>
      </x:c>
      <x:c r="C198" s="1" t="str">
        <x:v>Finance</x:v>
      </x:c>
      <x:c r="D198" s="1" t="str">
        <x:v>Service fees</x:v>
      </x:c>
      <x:c r="E198" s="1" t="str">
        <x:v>Funding</x:v>
      </x:c>
      <x:c r="F198" s="4" t="n">
        <x:v>10625</x:v>
      </x:c>
      <x:c r="G198" s="4" t="n">
        <x:v>10782.25</x:v>
      </x:c>
    </x:row>
    <x:row r="199" ht="21" customHeight="1">
      <x:c r="A199" s="2" t="d">
        <x:v>2025-12-01T00:00:00.000Z</x:v>
      </x:c>
      <x:c r="B199" s="5" t="n">
        <x:v>2026</x:v>
      </x:c>
      <x:c r="C199" s="1" t="str">
        <x:v>Finance</x:v>
      </x:c>
      <x:c r="D199" s="1" t="str">
        <x:v>Service fees</x:v>
      </x:c>
      <x:c r="E199" s="1" t="str">
        <x:v>Funding</x:v>
      </x:c>
      <x:c r="F199" s="4" t="n">
        <x:v>10000</x:v>
      </x:c>
      <x:c r="G199" s="4" t="n">
        <x:v>9922.44</x:v>
      </x:c>
    </x:row>
    <x:row r="200" ht="21" customHeight="1">
      <x:c r="A200" s="2" t="d">
        <x:v>2026-01-01T00:00:00.000Z</x:v>
      </x:c>
      <x:c r="B200" s="5" t="n">
        <x:v>2026</x:v>
      </x:c>
      <x:c r="C200" s="1" t="str">
        <x:v>Finance</x:v>
      </x:c>
      <x:c r="D200" s="1" t="str">
        <x:v>Service fees</x:v>
      </x:c>
      <x:c r="E200" s="1" t="str">
        <x:v>Funding</x:v>
      </x:c>
      <x:c r="F200" s="4" t="n">
        <x:v>10000</x:v>
      </x:c>
      <x:c r="G200" s="4" t="n">
        <x:v>10139.18</x:v>
      </x:c>
    </x:row>
    <x:row r="201" ht="21" customHeight="1">
      <x:c r="A201" s="2" t="d">
        <x:v>2026-02-01T00:00:00.000Z</x:v>
      </x:c>
      <x:c r="B201" s="5" t="n">
        <x:v>2026</x:v>
      </x:c>
      <x:c r="C201" s="1" t="str">
        <x:v>Finance</x:v>
      </x:c>
      <x:c r="D201" s="1" t="str">
        <x:v>Service fees</x:v>
      </x:c>
      <x:c r="E201" s="1" t="str">
        <x:v>Funding</x:v>
      </x:c>
      <x:c r="F201" s="4" t="n">
        <x:v>10625</x:v>
      </x:c>
      <x:c r="G201" s="4" t="n">
        <x:v>11228.08</x:v>
      </x:c>
    </x:row>
    <x:row r="202" ht="21" customHeight="1">
      <x:c r="A202" s="2" t="d">
        <x:v>2026-03-01T00:00:00.000Z</x:v>
      </x:c>
      <x:c r="B202" s="5" t="n">
        <x:v>2026</x:v>
      </x:c>
      <x:c r="C202" s="1" t="str">
        <x:v>Finance</x:v>
      </x:c>
      <x:c r="D202" s="1" t="str">
        <x:v>Service fees</x:v>
      </x:c>
      <x:c r="E202" s="1" t="str">
        <x:v>Funding</x:v>
      </x:c>
      <x:c r="F202" s="4" t="n">
        <x:v>11875</x:v>
      </x:c>
      <x:c r="G202" s="4" t="n">
        <x:v>12608.63</x:v>
      </x:c>
    </x:row>
    <x:row r="203" ht="21" customHeight="1">
      <x:c r="A203" s="2" t="d">
        <x:v>2026-04-01T00:00:00.000Z</x:v>
      </x:c>
      <x:c r="B203" s="5" t="n">
        <x:v>2026</x:v>
      </x:c>
      <x:c r="C203" s="1" t="str">
        <x:v>Finance</x:v>
      </x:c>
      <x:c r="D203" s="1" t="str">
        <x:v>Service fees</x:v>
      </x:c>
      <x:c r="E203" s="1" t="str">
        <x:v>Funding</x:v>
      </x:c>
      <x:c r="F203" s="4" t="n">
        <x:v>12500</x:v>
      </x:c>
      <x:c r="G203" s="4" t="n">
        <x:v>13079.89</x:v>
      </x:c>
    </x:row>
    <x:row r="204" ht="21" customHeight="1">
      <x:c r="A204" s="2" t="d">
        <x:v>2026-05-01T00:00:00.000Z</x:v>
      </x:c>
      <x:c r="B204" s="5" t="n">
        <x:v>2026</x:v>
      </x:c>
      <x:c r="C204" s="1" t="str">
        <x:v>Finance</x:v>
      </x:c>
      <x:c r="D204" s="1" t="str">
        <x:v>Service fees</x:v>
      </x:c>
      <x:c r="E204" s="1" t="str">
        <x:v>Funding</x:v>
      </x:c>
      <x:c r="F204" s="4" t="n">
        <x:v>13125</x:v>
      </x:c>
      <x:c r="G204" s="4" t="n">
        <x:v>13466.83</x:v>
      </x:c>
    </x:row>
    <x:row r="205" ht="21" customHeight="1">
      <x:c r="A205" s="2" t="d">
        <x:v>2026-06-01T00:00:00.000Z</x:v>
      </x:c>
      <x:c r="B205" s="5" t="n">
        <x:v>2026</x:v>
      </x:c>
      <x:c r="C205" s="1" t="str">
        <x:v>Finance</x:v>
      </x:c>
      <x:c r="D205" s="1" t="str">
        <x:v>Service fees</x:v>
      </x:c>
      <x:c r="E205" s="1" t="str">
        <x:v>Funding</x:v>
      </x:c>
      <x:c r="F205" s="4" t="n">
        <x:v>13750</x:v>
      </x:c>
      <x:c r="G205" s="4" t="n">
        <x:v>13667.14</x:v>
      </x:c>
    </x:row>
    <x:row r="206" ht="21" customHeight="1">
      <x:c r="A206" s="2" t="d">
        <x:v>2025-07-01T00:00:00.000Z</x:v>
      </x:c>
      <x:c r="B206" s="5" t="n">
        <x:v>2026</x:v>
      </x:c>
      <x:c r="C206" s="1" t="str">
        <x:v>Finance</x:v>
      </x:c>
      <x:c r="D206" s="1" t="str">
        <x:v>Personnel</x:v>
      </x:c>
      <x:c r="E206" s="1" t="str">
        <x:v>Expense</x:v>
      </x:c>
      <x:c r="F206" s="4" t="n">
        <x:v>60000</x:v>
      </x:c>
      <x:c r="G206" s="4" t="n">
        <x:v>62383.04</x:v>
      </x:c>
    </x:row>
    <x:row r="207" ht="21" customHeight="1">
      <x:c r="A207" s="2" t="d">
        <x:v>2025-08-01T00:00:00.000Z</x:v>
      </x:c>
      <x:c r="B207" s="5" t="n">
        <x:v>2026</x:v>
      </x:c>
      <x:c r="C207" s="1" t="str">
        <x:v>Finance</x:v>
      </x:c>
      <x:c r="D207" s="1" t="str">
        <x:v>Personnel</x:v>
      </x:c>
      <x:c r="E207" s="1" t="str">
        <x:v>Expense</x:v>
      </x:c>
      <x:c r="F207" s="4" t="n">
        <x:v>60000</x:v>
      </x:c>
      <x:c r="G207" s="4" t="n">
        <x:v>61335.94</x:v>
      </x:c>
    </x:row>
    <x:row r="208" ht="21" customHeight="1">
      <x:c r="A208" s="2" t="d">
        <x:v>2025-09-01T00:00:00.000Z</x:v>
      </x:c>
      <x:c r="B208" s="5" t="n">
        <x:v>2026</x:v>
      </x:c>
      <x:c r="C208" s="1" t="str">
        <x:v>Finance</x:v>
      </x:c>
      <x:c r="D208" s="1" t="str">
        <x:v>Personnel</x:v>
      </x:c>
      <x:c r="E208" s="1" t="str">
        <x:v>Expense</x:v>
      </x:c>
      <x:c r="F208" s="4" t="n">
        <x:v>60000</x:v>
      </x:c>
      <x:c r="G208" s="4" t="n">
        <x:v>60886.66</x:v>
      </x:c>
    </x:row>
    <x:row r="209" ht="21" customHeight="1">
      <x:c r="A209" s="2" t="d">
        <x:v>2025-10-01T00:00:00.000Z</x:v>
      </x:c>
      <x:c r="B209" s="5" t="n">
        <x:v>2026</x:v>
      </x:c>
      <x:c r="C209" s="1" t="str">
        <x:v>Finance</x:v>
      </x:c>
      <x:c r="D209" s="1" t="str">
        <x:v>Personnel</x:v>
      </x:c>
      <x:c r="E209" s="1" t="str">
        <x:v>Expense</x:v>
      </x:c>
      <x:c r="F209" s="4" t="n">
        <x:v>60000</x:v>
      </x:c>
      <x:c r="G209" s="4" t="n">
        <x:v>61680.95</x:v>
      </x:c>
    </x:row>
    <x:row r="210" ht="21" customHeight="1">
      <x:c r="A210" s="2" t="d">
        <x:v>2025-11-01T00:00:00.000Z</x:v>
      </x:c>
      <x:c r="B210" s="5" t="n">
        <x:v>2026</x:v>
      </x:c>
      <x:c r="C210" s="1" t="str">
        <x:v>Finance</x:v>
      </x:c>
      <x:c r="D210" s="1" t="str">
        <x:v>Personnel</x:v>
      </x:c>
      <x:c r="E210" s="1" t="str">
        <x:v>Expense</x:v>
      </x:c>
      <x:c r="F210" s="4" t="n">
        <x:v>60000</x:v>
      </x:c>
      <x:c r="G210" s="4" t="n">
        <x:v>61283.19</x:v>
      </x:c>
    </x:row>
    <x:row r="211" ht="21" customHeight="1">
      <x:c r="A211" s="2" t="d">
        <x:v>2025-12-01T00:00:00.000Z</x:v>
      </x:c>
      <x:c r="B211" s="5" t="n">
        <x:v>2026</x:v>
      </x:c>
      <x:c r="C211" s="1" t="str">
        <x:v>Finance</x:v>
      </x:c>
      <x:c r="D211" s="1" t="str">
        <x:v>Personnel</x:v>
      </x:c>
      <x:c r="E211" s="1" t="str">
        <x:v>Expense</x:v>
      </x:c>
      <x:c r="F211" s="4" t="n">
        <x:v>60000</x:v>
      </x:c>
      <x:c r="G211" s="4" t="n">
        <x:v>61880.74</x:v>
      </x:c>
    </x:row>
    <x:row r="212" ht="21" customHeight="1">
      <x:c r="A212" s="2" t="d">
        <x:v>2026-01-01T00:00:00.000Z</x:v>
      </x:c>
      <x:c r="B212" s="5" t="n">
        <x:v>2026</x:v>
      </x:c>
      <x:c r="C212" s="1" t="str">
        <x:v>Finance</x:v>
      </x:c>
      <x:c r="D212" s="1" t="str">
        <x:v>Personnel</x:v>
      </x:c>
      <x:c r="E212" s="1" t="str">
        <x:v>Expense</x:v>
      </x:c>
      <x:c r="F212" s="4" t="n">
        <x:v>60000</x:v>
      </x:c>
      <x:c r="G212" s="4" t="n">
        <x:v>58221.54</x:v>
      </x:c>
    </x:row>
    <x:row r="213" ht="21" customHeight="1">
      <x:c r="A213" s="2" t="d">
        <x:v>2026-02-01T00:00:00.000Z</x:v>
      </x:c>
      <x:c r="B213" s="5" t="n">
        <x:v>2026</x:v>
      </x:c>
      <x:c r="C213" s="1" t="str">
        <x:v>Finance</x:v>
      </x:c>
      <x:c r="D213" s="1" t="str">
        <x:v>Personnel</x:v>
      </x:c>
      <x:c r="E213" s="1" t="str">
        <x:v>Expense</x:v>
      </x:c>
      <x:c r="F213" s="4" t="n">
        <x:v>60000</x:v>
      </x:c>
      <x:c r="G213" s="4" t="n">
        <x:v>62467.82</x:v>
      </x:c>
    </x:row>
    <x:row r="214" ht="21" customHeight="1">
      <x:c r="A214" s="2" t="d">
        <x:v>2026-03-01T00:00:00.000Z</x:v>
      </x:c>
      <x:c r="B214" s="5" t="n">
        <x:v>2026</x:v>
      </x:c>
      <x:c r="C214" s="1" t="str">
        <x:v>Finance</x:v>
      </x:c>
      <x:c r="D214" s="1" t="str">
        <x:v>Personnel</x:v>
      </x:c>
      <x:c r="E214" s="1" t="str">
        <x:v>Expense</x:v>
      </x:c>
      <x:c r="F214" s="4" t="n">
        <x:v>60000</x:v>
      </x:c>
      <x:c r="G214" s="4" t="n">
        <x:v>60784.15</x:v>
      </x:c>
    </x:row>
    <x:row r="215" ht="21" customHeight="1">
      <x:c r="A215" s="2" t="d">
        <x:v>2026-04-01T00:00:00.000Z</x:v>
      </x:c>
      <x:c r="B215" s="5" t="n">
        <x:v>2026</x:v>
      </x:c>
      <x:c r="C215" s="1" t="str">
        <x:v>Finance</x:v>
      </x:c>
      <x:c r="D215" s="1" t="str">
        <x:v>Personnel</x:v>
      </x:c>
      <x:c r="E215" s="1" t="str">
        <x:v>Expense</x:v>
      </x:c>
      <x:c r="F215" s="4" t="n">
        <x:v>60000</x:v>
      </x:c>
      <x:c r="G215" s="4" t="n">
        <x:v>62395.88</x:v>
      </x:c>
    </x:row>
    <x:row r="216" ht="21" customHeight="1">
      <x:c r="A216" s="2" t="d">
        <x:v>2026-05-01T00:00:00.000Z</x:v>
      </x:c>
      <x:c r="B216" s="5" t="n">
        <x:v>2026</x:v>
      </x:c>
      <x:c r="C216" s="1" t="str">
        <x:v>Finance</x:v>
      </x:c>
      <x:c r="D216" s="1" t="str">
        <x:v>Personnel</x:v>
      </x:c>
      <x:c r="E216" s="1" t="str">
        <x:v>Expense</x:v>
      </x:c>
      <x:c r="F216" s="4" t="n">
        <x:v>60000</x:v>
      </x:c>
      <x:c r="G216" s="4" t="n">
        <x:v>59008.37</x:v>
      </x:c>
    </x:row>
    <x:row r="217" ht="21" customHeight="1">
      <x:c r="A217" s="2" t="d">
        <x:v>2026-06-01T00:00:00.000Z</x:v>
      </x:c>
      <x:c r="B217" s="5" t="n">
        <x:v>2026</x:v>
      </x:c>
      <x:c r="C217" s="1" t="str">
        <x:v>Finance</x:v>
      </x:c>
      <x:c r="D217" s="1" t="str">
        <x:v>Personnel</x:v>
      </x:c>
      <x:c r="E217" s="1" t="str">
        <x:v>Expense</x:v>
      </x:c>
      <x:c r="F217" s="4" t="n">
        <x:v>60000</x:v>
      </x:c>
      <x:c r="G217" s="4" t="n">
        <x:v>58471.72</x:v>
      </x:c>
    </x:row>
    <x:row r="218" ht="21" customHeight="1">
      <x:c r="A218" s="2" t="d">
        <x:v>2025-07-01T00:00:00.000Z</x:v>
      </x:c>
      <x:c r="B218" s="5" t="n">
        <x:v>2026</x:v>
      </x:c>
      <x:c r="C218" s="1" t="str">
        <x:v>Finance</x:v>
      </x:c>
      <x:c r="D218" s="1" t="str">
        <x:v>Contract services</x:v>
      </x:c>
      <x:c r="E218" s="1" t="str">
        <x:v>Expense</x:v>
      </x:c>
      <x:c r="F218" s="4" t="n">
        <x:v>15000</x:v>
      </x:c>
      <x:c r="G218" s="4" t="n">
        <x:v>16683.4</x:v>
      </x:c>
    </x:row>
    <x:row r="219" ht="21" customHeight="1">
      <x:c r="A219" s="2" t="d">
        <x:v>2025-08-01T00:00:00.000Z</x:v>
      </x:c>
      <x:c r="B219" s="5" t="n">
        <x:v>2026</x:v>
      </x:c>
      <x:c r="C219" s="1" t="str">
        <x:v>Finance</x:v>
      </x:c>
      <x:c r="D219" s="1" t="str">
        <x:v>Contract services</x:v>
      </x:c>
      <x:c r="E219" s="1" t="str">
        <x:v>Expense</x:v>
      </x:c>
      <x:c r="F219" s="4" t="n">
        <x:v>15000</x:v>
      </x:c>
      <x:c r="G219" s="4" t="n">
        <x:v>16629.05</x:v>
      </x:c>
    </x:row>
    <x:row r="220" ht="21" customHeight="1">
      <x:c r="A220" s="2" t="d">
        <x:v>2025-09-01T00:00:00.000Z</x:v>
      </x:c>
      <x:c r="B220" s="5" t="n">
        <x:v>2026</x:v>
      </x:c>
      <x:c r="C220" s="1" t="str">
        <x:v>Finance</x:v>
      </x:c>
      <x:c r="D220" s="1" t="str">
        <x:v>Contract services</x:v>
      </x:c>
      <x:c r="E220" s="1" t="str">
        <x:v>Expense</x:v>
      </x:c>
      <x:c r="F220" s="4" t="n">
        <x:v>15000</x:v>
      </x:c>
      <x:c r="G220" s="4" t="n">
        <x:v>17223.03</x:v>
      </x:c>
    </x:row>
    <x:row r="221" ht="21" customHeight="1">
      <x:c r="A221" s="2" t="d">
        <x:v>2025-10-01T00:00:00.000Z</x:v>
      </x:c>
      <x:c r="B221" s="5" t="n">
        <x:v>2026</x:v>
      </x:c>
      <x:c r="C221" s="1" t="str">
        <x:v>Finance</x:v>
      </x:c>
      <x:c r="D221" s="1" t="str">
        <x:v>Contract services</x:v>
      </x:c>
      <x:c r="E221" s="1" t="str">
        <x:v>Expense</x:v>
      </x:c>
      <x:c r="F221" s="4" t="n">
        <x:v>15000</x:v>
      </x:c>
      <x:c r="G221" s="4" t="n">
        <x:v>17070.02</x:v>
      </x:c>
    </x:row>
    <x:row r="222" ht="21" customHeight="1">
      <x:c r="A222" s="2" t="d">
        <x:v>2025-11-01T00:00:00.000Z</x:v>
      </x:c>
      <x:c r="B222" s="5" t="n">
        <x:v>2026</x:v>
      </x:c>
      <x:c r="C222" s="1" t="str">
        <x:v>Finance</x:v>
      </x:c>
      <x:c r="D222" s="1" t="str">
        <x:v>Contract services</x:v>
      </x:c>
      <x:c r="E222" s="1" t="str">
        <x:v>Expense</x:v>
      </x:c>
      <x:c r="F222" s="4" t="n">
        <x:v>15000</x:v>
      </x:c>
      <x:c r="G222" s="4" t="n">
        <x:v>16468.71</x:v>
      </x:c>
    </x:row>
    <x:row r="223" ht="21" customHeight="1">
      <x:c r="A223" s="2" t="d">
        <x:v>2025-12-01T00:00:00.000Z</x:v>
      </x:c>
      <x:c r="B223" s="5" t="n">
        <x:v>2026</x:v>
      </x:c>
      <x:c r="C223" s="1" t="str">
        <x:v>Finance</x:v>
      </x:c>
      <x:c r="D223" s="1" t="str">
        <x:v>Contract services</x:v>
      </x:c>
      <x:c r="E223" s="1" t="str">
        <x:v>Expense</x:v>
      </x:c>
      <x:c r="F223" s="4" t="n">
        <x:v>15000</x:v>
      </x:c>
      <x:c r="G223" s="4" t="n">
        <x:v>16819.28</x:v>
      </x:c>
    </x:row>
    <x:row r="224" ht="21" customHeight="1">
      <x:c r="A224" s="2" t="d">
        <x:v>2026-01-01T00:00:00.000Z</x:v>
      </x:c>
      <x:c r="B224" s="5" t="n">
        <x:v>2026</x:v>
      </x:c>
      <x:c r="C224" s="1" t="str">
        <x:v>Finance</x:v>
      </x:c>
      <x:c r="D224" s="1" t="str">
        <x:v>Contract services</x:v>
      </x:c>
      <x:c r="E224" s="1" t="str">
        <x:v>Expense</x:v>
      </x:c>
      <x:c r="F224" s="4" t="n">
        <x:v>15000</x:v>
      </x:c>
      <x:c r="G224" s="4" t="n">
        <x:v>16746.13</x:v>
      </x:c>
    </x:row>
    <x:row r="225" ht="21" customHeight="1">
      <x:c r="A225" s="2" t="d">
        <x:v>2026-02-01T00:00:00.000Z</x:v>
      </x:c>
      <x:c r="B225" s="5" t="n">
        <x:v>2026</x:v>
      </x:c>
      <x:c r="C225" s="1" t="str">
        <x:v>Finance</x:v>
      </x:c>
      <x:c r="D225" s="1" t="str">
        <x:v>Contract services</x:v>
      </x:c>
      <x:c r="E225" s="1" t="str">
        <x:v>Expense</x:v>
      </x:c>
      <x:c r="F225" s="4" t="n">
        <x:v>15000</x:v>
      </x:c>
      <x:c r="G225" s="4" t="n">
        <x:v>17176.1</x:v>
      </x:c>
    </x:row>
    <x:row r="226" ht="21" customHeight="1">
      <x:c r="A226" s="2" t="d">
        <x:v>2026-03-01T00:00:00.000Z</x:v>
      </x:c>
      <x:c r="B226" s="5" t="n">
        <x:v>2026</x:v>
      </x:c>
      <x:c r="C226" s="1" t="str">
        <x:v>Finance</x:v>
      </x:c>
      <x:c r="D226" s="1" t="str">
        <x:v>Contract services</x:v>
      </x:c>
      <x:c r="E226" s="1" t="str">
        <x:v>Expense</x:v>
      </x:c>
      <x:c r="F226" s="4" t="n">
        <x:v>15000</x:v>
      </x:c>
      <x:c r="G226" s="4" t="n">
        <x:v>16377.08</x:v>
      </x:c>
    </x:row>
    <x:row r="227" ht="21" customHeight="1">
      <x:c r="A227" s="2" t="d">
        <x:v>2026-04-01T00:00:00.000Z</x:v>
      </x:c>
      <x:c r="B227" s="5" t="n">
        <x:v>2026</x:v>
      </x:c>
      <x:c r="C227" s="1" t="str">
        <x:v>Finance</x:v>
      </x:c>
      <x:c r="D227" s="1" t="str">
        <x:v>Contract services</x:v>
      </x:c>
      <x:c r="E227" s="1" t="str">
        <x:v>Expense</x:v>
      </x:c>
      <x:c r="F227" s="4" t="n">
        <x:v>15000</x:v>
      </x:c>
      <x:c r="G227" s="4" t="n">
        <x:v>16960.46</x:v>
      </x:c>
    </x:row>
    <x:row r="228" ht="21" customHeight="1">
      <x:c r="A228" s="2" t="d">
        <x:v>2026-05-01T00:00:00.000Z</x:v>
      </x:c>
      <x:c r="B228" s="5" t="n">
        <x:v>2026</x:v>
      </x:c>
      <x:c r="C228" s="1" t="str">
        <x:v>Finance</x:v>
      </x:c>
      <x:c r="D228" s="1" t="str">
        <x:v>Contract services</x:v>
      </x:c>
      <x:c r="E228" s="1" t="str">
        <x:v>Expense</x:v>
      </x:c>
      <x:c r="F228" s="4" t="n">
        <x:v>15000</x:v>
      </x:c>
      <x:c r="G228" s="4" t="n">
        <x:v>16759.78</x:v>
      </x:c>
    </x:row>
    <x:row r="229" ht="21" customHeight="1">
      <x:c r="A229" s="2" t="d">
        <x:v>2026-06-01T00:00:00.000Z</x:v>
      </x:c>
      <x:c r="B229" s="5" t="n">
        <x:v>2026</x:v>
      </x:c>
      <x:c r="C229" s="1" t="str">
        <x:v>Finance</x:v>
      </x:c>
      <x:c r="D229" s="1" t="str">
        <x:v>Contract services</x:v>
      </x:c>
      <x:c r="E229" s="1" t="str">
        <x:v>Expense</x:v>
      </x:c>
      <x:c r="F229" s="4" t="n">
        <x:v>15000</x:v>
      </x:c>
      <x:c r="G229" s="4" t="n">
        <x:v>16686.96</x:v>
      </x:c>
    </x:row>
    <x:row r="230" ht="21" customHeight="1">
      <x:c r="A230" s="2" t="d">
        <x:v>2025-07-01T00:00:00.000Z</x:v>
      </x:c>
      <x:c r="B230" s="5" t="n">
        <x:v>2026</x:v>
      </x:c>
      <x:c r="C230" s="1" t="str">
        <x:v>Finance</x:v>
      </x:c>
      <x:c r="D230" s="1" t="str">
        <x:v>Materials</x:v>
      </x:c>
      <x:c r="E230" s="1" t="str">
        <x:v>Expense</x:v>
      </x:c>
      <x:c r="F230" s="4" t="n">
        <x:v>7583.33</x:v>
      </x:c>
      <x:c r="G230" s="4" t="n">
        <x:v>7327.33</x:v>
      </x:c>
    </x:row>
    <x:row r="231" ht="21" customHeight="1">
      <x:c r="A231" s="2" t="d">
        <x:v>2025-08-01T00:00:00.000Z</x:v>
      </x:c>
      <x:c r="B231" s="5" t="n">
        <x:v>2026</x:v>
      </x:c>
      <x:c r="C231" s="1" t="str">
        <x:v>Finance</x:v>
      </x:c>
      <x:c r="D231" s="1" t="str">
        <x:v>Materials</x:v>
      </x:c>
      <x:c r="E231" s="1" t="str">
        <x:v>Expense</x:v>
      </x:c>
      <x:c r="F231" s="4" t="n">
        <x:v>7583.33</x:v>
      </x:c>
      <x:c r="G231" s="4" t="n">
        <x:v>7542.99</x:v>
      </x:c>
    </x:row>
    <x:row r="232" ht="21" customHeight="1">
      <x:c r="A232" s="2" t="d">
        <x:v>2025-09-01T00:00:00.000Z</x:v>
      </x:c>
      <x:c r="B232" s="5" t="n">
        <x:v>2026</x:v>
      </x:c>
      <x:c r="C232" s="1" t="str">
        <x:v>Finance</x:v>
      </x:c>
      <x:c r="D232" s="1" t="str">
        <x:v>Materials</x:v>
      </x:c>
      <x:c r="E232" s="1" t="str">
        <x:v>Expense</x:v>
      </x:c>
      <x:c r="F232" s="4" t="n">
        <x:v>6416.67</x:v>
      </x:c>
      <x:c r="G232" s="4" t="n">
        <x:v>6183.29</x:v>
      </x:c>
    </x:row>
    <x:row r="233" ht="21" customHeight="1">
      <x:c r="A233" s="2" t="d">
        <x:v>2025-10-01T00:00:00.000Z</x:v>
      </x:c>
      <x:c r="B233" s="5" t="n">
        <x:v>2026</x:v>
      </x:c>
      <x:c r="C233" s="1" t="str">
        <x:v>Finance</x:v>
      </x:c>
      <x:c r="D233" s="1" t="str">
        <x:v>Materials</x:v>
      </x:c>
      <x:c r="E233" s="1" t="str">
        <x:v>Expense</x:v>
      </x:c>
      <x:c r="F233" s="4" t="n">
        <x:v>5250</x:v>
      </x:c>
      <x:c r="G233" s="4" t="n">
        <x:v>5266.55</x:v>
      </x:c>
    </x:row>
    <x:row r="234" ht="21" customHeight="1">
      <x:c r="A234" s="2" t="d">
        <x:v>2025-11-01T00:00:00.000Z</x:v>
      </x:c>
      <x:c r="B234" s="5" t="n">
        <x:v>2026</x:v>
      </x:c>
      <x:c r="C234" s="1" t="str">
        <x:v>Finance</x:v>
      </x:c>
      <x:c r="D234" s="1" t="str">
        <x:v>Materials</x:v>
      </x:c>
      <x:c r="E234" s="1" t="str">
        <x:v>Expense</x:v>
      </x:c>
      <x:c r="F234" s="4" t="n">
        <x:v>4958.33</x:v>
      </x:c>
      <x:c r="G234" s="4" t="n">
        <x:v>4865.03</x:v>
      </x:c>
    </x:row>
    <x:row r="235" ht="21" customHeight="1">
      <x:c r="A235" s="2" t="d">
        <x:v>2025-12-01T00:00:00.000Z</x:v>
      </x:c>
      <x:c r="B235" s="5" t="n">
        <x:v>2026</x:v>
      </x:c>
      <x:c r="C235" s="1" t="str">
        <x:v>Finance</x:v>
      </x:c>
      <x:c r="D235" s="1" t="str">
        <x:v>Materials</x:v>
      </x:c>
      <x:c r="E235" s="1" t="str">
        <x:v>Expense</x:v>
      </x:c>
      <x:c r="F235" s="4" t="n">
        <x:v>4666.67</x:v>
      </x:c>
      <x:c r="G235" s="4" t="n">
        <x:v>4450.61</x:v>
      </x:c>
    </x:row>
    <x:row r="236" ht="21" customHeight="1">
      <x:c r="A236" s="2" t="d">
        <x:v>2026-01-01T00:00:00.000Z</x:v>
      </x:c>
      <x:c r="B236" s="5" t="n">
        <x:v>2026</x:v>
      </x:c>
      <x:c r="C236" s="1" t="str">
        <x:v>Finance</x:v>
      </x:c>
      <x:c r="D236" s="1" t="str">
        <x:v>Materials</x:v>
      </x:c>
      <x:c r="E236" s="1" t="str">
        <x:v>Expense</x:v>
      </x:c>
      <x:c r="F236" s="4" t="n">
        <x:v>4666.67</x:v>
      </x:c>
      <x:c r="G236" s="4" t="n">
        <x:v>4405.39</x:v>
      </x:c>
    </x:row>
    <x:row r="237" ht="21" customHeight="1">
      <x:c r="A237" s="2" t="d">
        <x:v>2026-02-01T00:00:00.000Z</x:v>
      </x:c>
      <x:c r="B237" s="5" t="n">
        <x:v>2026</x:v>
      </x:c>
      <x:c r="C237" s="1" t="str">
        <x:v>Finance</x:v>
      </x:c>
      <x:c r="D237" s="1" t="str">
        <x:v>Materials</x:v>
      </x:c>
      <x:c r="E237" s="1" t="str">
        <x:v>Expense</x:v>
      </x:c>
      <x:c r="F237" s="4" t="n">
        <x:v>4958.33</x:v>
      </x:c>
      <x:c r="G237" s="4" t="n">
        <x:v>4785.9</x:v>
      </x:c>
    </x:row>
    <x:row r="238" ht="21" customHeight="1">
      <x:c r="A238" s="2" t="d">
        <x:v>2026-03-01T00:00:00.000Z</x:v>
      </x:c>
      <x:c r="B238" s="5" t="n">
        <x:v>2026</x:v>
      </x:c>
      <x:c r="C238" s="1" t="str">
        <x:v>Finance</x:v>
      </x:c>
      <x:c r="D238" s="1" t="str">
        <x:v>Materials</x:v>
      </x:c>
      <x:c r="E238" s="1" t="str">
        <x:v>Expense</x:v>
      </x:c>
      <x:c r="F238" s="4" t="n">
        <x:v>5541.67</x:v>
      </x:c>
      <x:c r="G238" s="4" t="n">
        <x:v>5242.01</x:v>
      </x:c>
    </x:row>
    <x:row r="239" ht="21" customHeight="1">
      <x:c r="A239" s="2" t="d">
        <x:v>2026-04-01T00:00:00.000Z</x:v>
      </x:c>
      <x:c r="B239" s="5" t="n">
        <x:v>2026</x:v>
      </x:c>
      <x:c r="C239" s="1" t="str">
        <x:v>Finance</x:v>
      </x:c>
      <x:c r="D239" s="1" t="str">
        <x:v>Materials</x:v>
      </x:c>
      <x:c r="E239" s="1" t="str">
        <x:v>Expense</x:v>
      </x:c>
      <x:c r="F239" s="4" t="n">
        <x:v>5833.33</x:v>
      </x:c>
      <x:c r="G239" s="4" t="n">
        <x:v>5750.88</x:v>
      </x:c>
    </x:row>
    <x:row r="240" ht="21" customHeight="1">
      <x:c r="A240" s="2" t="d">
        <x:v>2026-05-01T00:00:00.000Z</x:v>
      </x:c>
      <x:c r="B240" s="5" t="n">
        <x:v>2026</x:v>
      </x:c>
      <x:c r="C240" s="1" t="str">
        <x:v>Finance</x:v>
      </x:c>
      <x:c r="D240" s="1" t="str">
        <x:v>Materials</x:v>
      </x:c>
      <x:c r="E240" s="1" t="str">
        <x:v>Expense</x:v>
      </x:c>
      <x:c r="F240" s="4" t="n">
        <x:v>6125</x:v>
      </x:c>
      <x:c r="G240" s="4" t="n">
        <x:v>5860.48</x:v>
      </x:c>
    </x:row>
    <x:row r="241" ht="21" customHeight="1">
      <x:c r="A241" s="2" t="d">
        <x:v>2026-06-01T00:00:00.000Z</x:v>
      </x:c>
      <x:c r="B241" s="5" t="n">
        <x:v>2026</x:v>
      </x:c>
      <x:c r="C241" s="1" t="str">
        <x:v>Finance</x:v>
      </x:c>
      <x:c r="D241" s="1" t="str">
        <x:v>Materials</x:v>
      </x:c>
      <x:c r="E241" s="1" t="str">
        <x:v>Expense</x:v>
      </x:c>
      <x:c r="F241" s="4" t="n">
        <x:v>6416.67</x:v>
      </x:c>
      <x:c r="G241" s="4" t="n">
        <x:v>6219.54</x:v>
      </x:c>
    </x:row>
    <x:row r="242" ht="21" customHeight="1">
      <x:c r="A242" s="2" t="d">
        <x:v>2025-07-01T00:00:00.000Z</x:v>
      </x:c>
      <x:c r="B242" s="5" t="n">
        <x:v>2026</x:v>
      </x:c>
      <x:c r="C242" s="1" t="str">
        <x:v>Public Works</x:v>
      </x:c>
      <x:c r="D242" s="1" t="str">
        <x:v>Assigned operating support</x:v>
      </x:c>
      <x:c r="E242" s="1" t="str">
        <x:v>Funding</x:v>
      </x:c>
      <x:c r="F242" s="4" t="n">
        <x:v>258333.33</x:v>
      </x:c>
      <x:c r="G242" s="4" t="n">
        <x:v>261516.27</x:v>
      </x:c>
    </x:row>
    <x:row r="243" ht="21" customHeight="1">
      <x:c r="A243" s="2" t="d">
        <x:v>2025-08-01T00:00:00.000Z</x:v>
      </x:c>
      <x:c r="B243" s="5" t="n">
        <x:v>2026</x:v>
      </x:c>
      <x:c r="C243" s="1" t="str">
        <x:v>Public Works</x:v>
      </x:c>
      <x:c r="D243" s="1" t="str">
        <x:v>Assigned operating support</x:v>
      </x:c>
      <x:c r="E243" s="1" t="str">
        <x:v>Funding</x:v>
      </x:c>
      <x:c r="F243" s="4" t="n">
        <x:v>258333.33</x:v>
      </x:c>
      <x:c r="G243" s="4" t="n">
        <x:v>262184.85</x:v>
      </x:c>
    </x:row>
    <x:row r="244" ht="21" customHeight="1">
      <x:c r="A244" s="2" t="d">
        <x:v>2025-09-01T00:00:00.000Z</x:v>
      </x:c>
      <x:c r="B244" s="5" t="n">
        <x:v>2026</x:v>
      </x:c>
      <x:c r="C244" s="1" t="str">
        <x:v>Public Works</x:v>
      </x:c>
      <x:c r="D244" s="1" t="str">
        <x:v>Assigned operating support</x:v>
      </x:c>
      <x:c r="E244" s="1" t="str">
        <x:v>Funding</x:v>
      </x:c>
      <x:c r="F244" s="4" t="n">
        <x:v>258333.33</x:v>
      </x:c>
      <x:c r="G244" s="4" t="n">
        <x:v>251268.09</x:v>
      </x:c>
    </x:row>
    <x:row r="245" ht="21" customHeight="1">
      <x:c r="A245" s="2" t="d">
        <x:v>2025-10-01T00:00:00.000Z</x:v>
      </x:c>
      <x:c r="B245" s="5" t="n">
        <x:v>2026</x:v>
      </x:c>
      <x:c r="C245" s="1" t="str">
        <x:v>Public Works</x:v>
      </x:c>
      <x:c r="D245" s="1" t="str">
        <x:v>Assigned operating support</x:v>
      </x:c>
      <x:c r="E245" s="1" t="str">
        <x:v>Funding</x:v>
      </x:c>
      <x:c r="F245" s="4" t="n">
        <x:v>258333.33</x:v>
      </x:c>
      <x:c r="G245" s="4" t="n">
        <x:v>252125.19</x:v>
      </x:c>
    </x:row>
    <x:row r="246" ht="21" customHeight="1">
      <x:c r="A246" s="2" t="d">
        <x:v>2025-11-01T00:00:00.000Z</x:v>
      </x:c>
      <x:c r="B246" s="5" t="n">
        <x:v>2026</x:v>
      </x:c>
      <x:c r="C246" s="1" t="str">
        <x:v>Public Works</x:v>
      </x:c>
      <x:c r="D246" s="1" t="str">
        <x:v>Assigned operating support</x:v>
      </x:c>
      <x:c r="E246" s="1" t="str">
        <x:v>Funding</x:v>
      </x:c>
      <x:c r="F246" s="4" t="n">
        <x:v>258333.33</x:v>
      </x:c>
      <x:c r="G246" s="4" t="n">
        <x:v>249067.86</x:v>
      </x:c>
    </x:row>
    <x:row r="247" ht="21" customHeight="1">
      <x:c r="A247" s="2" t="d">
        <x:v>2025-12-01T00:00:00.000Z</x:v>
      </x:c>
      <x:c r="B247" s="5" t="n">
        <x:v>2026</x:v>
      </x:c>
      <x:c r="C247" s="1" t="str">
        <x:v>Public Works</x:v>
      </x:c>
      <x:c r="D247" s="1" t="str">
        <x:v>Assigned operating support</x:v>
      </x:c>
      <x:c r="E247" s="1" t="str">
        <x:v>Funding</x:v>
      </x:c>
      <x:c r="F247" s="4" t="n">
        <x:v>258333.33</x:v>
      </x:c>
      <x:c r="G247" s="4" t="n">
        <x:v>248798.55</x:v>
      </x:c>
    </x:row>
    <x:row r="248" ht="21" customHeight="1">
      <x:c r="A248" s="2" t="d">
        <x:v>2026-01-01T00:00:00.000Z</x:v>
      </x:c>
      <x:c r="B248" s="5" t="n">
        <x:v>2026</x:v>
      </x:c>
      <x:c r="C248" s="1" t="str">
        <x:v>Public Works</x:v>
      </x:c>
      <x:c r="D248" s="1" t="str">
        <x:v>Assigned operating support</x:v>
      </x:c>
      <x:c r="E248" s="1" t="str">
        <x:v>Funding</x:v>
      </x:c>
      <x:c r="F248" s="4" t="n">
        <x:v>258333.33</x:v>
      </x:c>
      <x:c r="G248" s="4" t="n">
        <x:v>266146.48</x:v>
      </x:c>
    </x:row>
    <x:row r="249" ht="21" customHeight="1">
      <x:c r="A249" s="2" t="d">
        <x:v>2026-02-01T00:00:00.000Z</x:v>
      </x:c>
      <x:c r="B249" s="5" t="n">
        <x:v>2026</x:v>
      </x:c>
      <x:c r="C249" s="1" t="str">
        <x:v>Public Works</x:v>
      </x:c>
      <x:c r="D249" s="1" t="str">
        <x:v>Assigned operating support</x:v>
      </x:c>
      <x:c r="E249" s="1" t="str">
        <x:v>Funding</x:v>
      </x:c>
      <x:c r="F249" s="4" t="n">
        <x:v>258333.33</x:v>
      </x:c>
      <x:c r="G249" s="4" t="n">
        <x:v>264235</x:v>
      </x:c>
    </x:row>
    <x:row r="250" ht="21" customHeight="1">
      <x:c r="A250" s="2" t="d">
        <x:v>2026-03-01T00:00:00.000Z</x:v>
      </x:c>
      <x:c r="B250" s="5" t="n">
        <x:v>2026</x:v>
      </x:c>
      <x:c r="C250" s="1" t="str">
        <x:v>Public Works</x:v>
      </x:c>
      <x:c r="D250" s="1" t="str">
        <x:v>Assigned operating support</x:v>
      </x:c>
      <x:c r="E250" s="1" t="str">
        <x:v>Funding</x:v>
      </x:c>
      <x:c r="F250" s="4" t="n">
        <x:v>258333.33</x:v>
      </x:c>
      <x:c r="G250" s="4" t="n">
        <x:v>257790.18</x:v>
      </x:c>
    </x:row>
    <x:row r="251" ht="21" customHeight="1">
      <x:c r="A251" s="2" t="d">
        <x:v>2026-04-01T00:00:00.000Z</x:v>
      </x:c>
      <x:c r="B251" s="5" t="n">
        <x:v>2026</x:v>
      </x:c>
      <x:c r="C251" s="1" t="str">
        <x:v>Public Works</x:v>
      </x:c>
      <x:c r="D251" s="1" t="str">
        <x:v>Assigned operating support</x:v>
      </x:c>
      <x:c r="E251" s="1" t="str">
        <x:v>Funding</x:v>
      </x:c>
      <x:c r="F251" s="4" t="n">
        <x:v>258333.33</x:v>
      </x:c>
      <x:c r="G251" s="4" t="n">
        <x:v>247231.04</x:v>
      </x:c>
    </x:row>
    <x:row r="252" ht="21" customHeight="1">
      <x:c r="A252" s="2" t="d">
        <x:v>2026-05-01T00:00:00.000Z</x:v>
      </x:c>
      <x:c r="B252" s="5" t="n">
        <x:v>2026</x:v>
      </x:c>
      <x:c r="C252" s="1" t="str">
        <x:v>Public Works</x:v>
      </x:c>
      <x:c r="D252" s="1" t="str">
        <x:v>Assigned operating support</x:v>
      </x:c>
      <x:c r="E252" s="1" t="str">
        <x:v>Funding</x:v>
      </x:c>
      <x:c r="F252" s="4" t="n">
        <x:v>258333.33</x:v>
      </x:c>
      <x:c r="G252" s="4" t="n">
        <x:v>251243.12</x:v>
      </x:c>
    </x:row>
    <x:row r="253" ht="21" customHeight="1">
      <x:c r="A253" s="2" t="d">
        <x:v>2026-06-01T00:00:00.000Z</x:v>
      </x:c>
      <x:c r="B253" s="5" t="n">
        <x:v>2026</x:v>
      </x:c>
      <x:c r="C253" s="1" t="str">
        <x:v>Public Works</x:v>
      </x:c>
      <x:c r="D253" s="1" t="str">
        <x:v>Assigned operating support</x:v>
      </x:c>
      <x:c r="E253" s="1" t="str">
        <x:v>Funding</x:v>
      </x:c>
      <x:c r="F253" s="4" t="n">
        <x:v>258333.37</x:v>
      </x:c>
      <x:c r="G253" s="4" t="n">
        <x:v>257393.37</x:v>
      </x:c>
    </x:row>
    <x:row r="254" ht="21" customHeight="1">
      <x:c r="A254" s="2" t="d">
        <x:v>2025-07-01T00:00:00.000Z</x:v>
      </x:c>
      <x:c r="B254" s="5" t="n">
        <x:v>2026</x:v>
      </x:c>
      <x:c r="C254" s="1" t="str">
        <x:v>Public Works</x:v>
      </x:c>
      <x:c r="D254" s="1" t="str">
        <x:v>Service fees</x:v>
      </x:c>
      <x:c r="E254" s="1" t="str">
        <x:v>Funding</x:v>
      </x:c>
      <x:c r="F254" s="4" t="n">
        <x:v>70416.67</x:v>
      </x:c>
      <x:c r="G254" s="4" t="n">
        <x:v>72836.56</x:v>
      </x:c>
    </x:row>
    <x:row r="255" ht="21" customHeight="1">
      <x:c r="A255" s="2" t="d">
        <x:v>2025-08-01T00:00:00.000Z</x:v>
      </x:c>
      <x:c r="B255" s="5" t="n">
        <x:v>2026</x:v>
      </x:c>
      <x:c r="C255" s="1" t="str">
        <x:v>Public Works</x:v>
      </x:c>
      <x:c r="D255" s="1" t="str">
        <x:v>Service fees</x:v>
      </x:c>
      <x:c r="E255" s="1" t="str">
        <x:v>Funding</x:v>
      </x:c>
      <x:c r="F255" s="4" t="n">
        <x:v>70416.67</x:v>
      </x:c>
      <x:c r="G255" s="4" t="n">
        <x:v>69617.1</x:v>
      </x:c>
    </x:row>
    <x:row r="256" ht="21" customHeight="1">
      <x:c r="A256" s="2" t="d">
        <x:v>2025-09-01T00:00:00.000Z</x:v>
      </x:c>
      <x:c r="B256" s="5" t="n">
        <x:v>2026</x:v>
      </x:c>
      <x:c r="C256" s="1" t="str">
        <x:v>Public Works</x:v>
      </x:c>
      <x:c r="D256" s="1" t="str">
        <x:v>Service fees</x:v>
      </x:c>
      <x:c r="E256" s="1" t="str">
        <x:v>Funding</x:v>
      </x:c>
      <x:c r="F256" s="4" t="n">
        <x:v>59583.33</x:v>
      </x:c>
      <x:c r="G256" s="4" t="n">
        <x:v>62403.75</x:v>
      </x:c>
    </x:row>
    <x:row r="257" ht="21" customHeight="1">
      <x:c r="A257" s="2" t="d">
        <x:v>2025-10-01T00:00:00.000Z</x:v>
      </x:c>
      <x:c r="B257" s="5" t="n">
        <x:v>2026</x:v>
      </x:c>
      <x:c r="C257" s="1" t="str">
        <x:v>Public Works</x:v>
      </x:c>
      <x:c r="D257" s="1" t="str">
        <x:v>Service fees</x:v>
      </x:c>
      <x:c r="E257" s="1" t="str">
        <x:v>Funding</x:v>
      </x:c>
      <x:c r="F257" s="4" t="n">
        <x:v>48750</x:v>
      </x:c>
      <x:c r="G257" s="4" t="n">
        <x:v>51025.98</x:v>
      </x:c>
    </x:row>
    <x:row r="258" ht="21" customHeight="1">
      <x:c r="A258" s="2" t="d">
        <x:v>2025-11-01T00:00:00.000Z</x:v>
      </x:c>
      <x:c r="B258" s="5" t="n">
        <x:v>2026</x:v>
      </x:c>
      <x:c r="C258" s="1" t="str">
        <x:v>Public Works</x:v>
      </x:c>
      <x:c r="D258" s="1" t="str">
        <x:v>Service fees</x:v>
      </x:c>
      <x:c r="E258" s="1" t="str">
        <x:v>Funding</x:v>
      </x:c>
      <x:c r="F258" s="4" t="n">
        <x:v>46041.67</x:v>
      </x:c>
      <x:c r="G258" s="4" t="n">
        <x:v>46727.68</x:v>
      </x:c>
    </x:row>
    <x:row r="259" ht="21" customHeight="1">
      <x:c r="A259" s="2" t="d">
        <x:v>2025-12-01T00:00:00.000Z</x:v>
      </x:c>
      <x:c r="B259" s="5" t="n">
        <x:v>2026</x:v>
      </x:c>
      <x:c r="C259" s="1" t="str">
        <x:v>Public Works</x:v>
      </x:c>
      <x:c r="D259" s="1" t="str">
        <x:v>Service fees</x:v>
      </x:c>
      <x:c r="E259" s="1" t="str">
        <x:v>Funding</x:v>
      </x:c>
      <x:c r="F259" s="4" t="n">
        <x:v>43333.33</x:v>
      </x:c>
      <x:c r="G259" s="4" t="n">
        <x:v>43059.78</x:v>
      </x:c>
    </x:row>
    <x:row r="260" ht="21" customHeight="1">
      <x:c r="A260" s="2" t="d">
        <x:v>2026-01-01T00:00:00.000Z</x:v>
      </x:c>
      <x:c r="B260" s="5" t="n">
        <x:v>2026</x:v>
      </x:c>
      <x:c r="C260" s="1" t="str">
        <x:v>Public Works</x:v>
      </x:c>
      <x:c r="D260" s="1" t="str">
        <x:v>Service fees</x:v>
      </x:c>
      <x:c r="E260" s="1" t="str">
        <x:v>Funding</x:v>
      </x:c>
      <x:c r="F260" s="4" t="n">
        <x:v>43333.33</x:v>
      </x:c>
      <x:c r="G260" s="4" t="n">
        <x:v>44796.89</x:v>
      </x:c>
    </x:row>
    <x:row r="261" ht="21" customHeight="1">
      <x:c r="A261" s="2" t="d">
        <x:v>2026-02-01T00:00:00.000Z</x:v>
      </x:c>
      <x:c r="B261" s="5" t="n">
        <x:v>2026</x:v>
      </x:c>
      <x:c r="C261" s="1" t="str">
        <x:v>Public Works</x:v>
      </x:c>
      <x:c r="D261" s="1" t="str">
        <x:v>Service fees</x:v>
      </x:c>
      <x:c r="E261" s="1" t="str">
        <x:v>Funding</x:v>
      </x:c>
      <x:c r="F261" s="4" t="n">
        <x:v>46041.67</x:v>
      </x:c>
      <x:c r="G261" s="4" t="n">
        <x:v>47045.5</x:v>
      </x:c>
    </x:row>
    <x:row r="262" ht="21" customHeight="1">
      <x:c r="A262" s="2" t="d">
        <x:v>2026-03-01T00:00:00.000Z</x:v>
      </x:c>
      <x:c r="B262" s="5" t="n">
        <x:v>2026</x:v>
      </x:c>
      <x:c r="C262" s="1" t="str">
        <x:v>Public Works</x:v>
      </x:c>
      <x:c r="D262" s="1" t="str">
        <x:v>Service fees</x:v>
      </x:c>
      <x:c r="E262" s="1" t="str">
        <x:v>Funding</x:v>
      </x:c>
      <x:c r="F262" s="4" t="n">
        <x:v>51458.33</x:v>
      </x:c>
      <x:c r="G262" s="4" t="n">
        <x:v>51496.94</x:v>
      </x:c>
    </x:row>
    <x:row r="263" ht="21" customHeight="1">
      <x:c r="A263" s="2" t="d">
        <x:v>2026-04-01T00:00:00.000Z</x:v>
      </x:c>
      <x:c r="B263" s="5" t="n">
        <x:v>2026</x:v>
      </x:c>
      <x:c r="C263" s="1" t="str">
        <x:v>Public Works</x:v>
      </x:c>
      <x:c r="D263" s="1" t="str">
        <x:v>Service fees</x:v>
      </x:c>
      <x:c r="E263" s="1" t="str">
        <x:v>Funding</x:v>
      </x:c>
      <x:c r="F263" s="4" t="n">
        <x:v>54166.67</x:v>
      </x:c>
      <x:c r="G263" s="4" t="n">
        <x:v>53966.49</x:v>
      </x:c>
    </x:row>
    <x:row r="264" ht="21" customHeight="1">
      <x:c r="A264" s="2" t="d">
        <x:v>2026-05-01T00:00:00.000Z</x:v>
      </x:c>
      <x:c r="B264" s="5" t="n">
        <x:v>2026</x:v>
      </x:c>
      <x:c r="C264" s="1" t="str">
        <x:v>Public Works</x:v>
      </x:c>
      <x:c r="D264" s="1" t="str">
        <x:v>Service fees</x:v>
      </x:c>
      <x:c r="E264" s="1" t="str">
        <x:v>Funding</x:v>
      </x:c>
      <x:c r="F264" s="4" t="n">
        <x:v>56875</x:v>
      </x:c>
      <x:c r="G264" s="4" t="n">
        <x:v>58288.38</x:v>
      </x:c>
    </x:row>
    <x:row r="265" ht="21" customHeight="1">
      <x:c r="A265" s="2" t="d">
        <x:v>2026-06-01T00:00:00.000Z</x:v>
      </x:c>
      <x:c r="B265" s="5" t="n">
        <x:v>2026</x:v>
      </x:c>
      <x:c r="C265" s="1" t="str">
        <x:v>Public Works</x:v>
      </x:c>
      <x:c r="D265" s="1" t="str">
        <x:v>Service fees</x:v>
      </x:c>
      <x:c r="E265" s="1" t="str">
        <x:v>Funding</x:v>
      </x:c>
      <x:c r="F265" s="4" t="n">
        <x:v>59583.33</x:v>
      </x:c>
      <x:c r="G265" s="4" t="n">
        <x:v>61734.95</x:v>
      </x:c>
    </x:row>
    <x:row r="266" ht="21" customHeight="1">
      <x:c r="A266" s="2" t="d">
        <x:v>2025-07-01T00:00:00.000Z</x:v>
      </x:c>
      <x:c r="B266" s="5" t="n">
        <x:v>2026</x:v>
      </x:c>
      <x:c r="C266" s="1" t="str">
        <x:v>Public Works</x:v>
      </x:c>
      <x:c r="D266" s="1" t="str">
        <x:v>Personnel</x:v>
      </x:c>
      <x:c r="E266" s="1" t="str">
        <x:v>Expense</x:v>
      </x:c>
      <x:c r="F266" s="4" t="n">
        <x:v>183333.33</x:v>
      </x:c>
      <x:c r="G266" s="4" t="n">
        <x:v>193835.14</x:v>
      </x:c>
    </x:row>
    <x:row r="267" ht="21" customHeight="1">
      <x:c r="A267" s="2" t="d">
        <x:v>2025-08-01T00:00:00.000Z</x:v>
      </x:c>
      <x:c r="B267" s="5" t="n">
        <x:v>2026</x:v>
      </x:c>
      <x:c r="C267" s="1" t="str">
        <x:v>Public Works</x:v>
      </x:c>
      <x:c r="D267" s="1" t="str">
        <x:v>Personnel</x:v>
      </x:c>
      <x:c r="E267" s="1" t="str">
        <x:v>Expense</x:v>
      </x:c>
      <x:c r="F267" s="4" t="n">
        <x:v>183333.33</x:v>
      </x:c>
      <x:c r="G267" s="4" t="n">
        <x:v>193785.12</x:v>
      </x:c>
    </x:row>
    <x:row r="268" ht="21" customHeight="1">
      <x:c r="A268" s="2" t="d">
        <x:v>2025-09-01T00:00:00.000Z</x:v>
      </x:c>
      <x:c r="B268" s="5" t="n">
        <x:v>2026</x:v>
      </x:c>
      <x:c r="C268" s="1" t="str">
        <x:v>Public Works</x:v>
      </x:c>
      <x:c r="D268" s="1" t="str">
        <x:v>Personnel</x:v>
      </x:c>
      <x:c r="E268" s="1" t="str">
        <x:v>Expense</x:v>
      </x:c>
      <x:c r="F268" s="4" t="n">
        <x:v>183333.33</x:v>
      </x:c>
      <x:c r="G268" s="4" t="n">
        <x:v>193924.39</x:v>
      </x:c>
    </x:row>
    <x:row r="269" ht="21" customHeight="1">
      <x:c r="A269" s="2" t="d">
        <x:v>2025-10-01T00:00:00.000Z</x:v>
      </x:c>
      <x:c r="B269" s="5" t="n">
        <x:v>2026</x:v>
      </x:c>
      <x:c r="C269" s="1" t="str">
        <x:v>Public Works</x:v>
      </x:c>
      <x:c r="D269" s="1" t="str">
        <x:v>Personnel</x:v>
      </x:c>
      <x:c r="E269" s="1" t="str">
        <x:v>Expense</x:v>
      </x:c>
      <x:c r="F269" s="4" t="n">
        <x:v>183333.33</x:v>
      </x:c>
      <x:c r="G269" s="4" t="n">
        <x:v>196439.58</x:v>
      </x:c>
    </x:row>
    <x:row r="270" ht="21" customHeight="1">
      <x:c r="A270" s="2" t="d">
        <x:v>2025-11-01T00:00:00.000Z</x:v>
      </x:c>
      <x:c r="B270" s="5" t="n">
        <x:v>2026</x:v>
      </x:c>
      <x:c r="C270" s="1" t="str">
        <x:v>Public Works</x:v>
      </x:c>
      <x:c r="D270" s="1" t="str">
        <x:v>Personnel</x:v>
      </x:c>
      <x:c r="E270" s="1" t="str">
        <x:v>Expense</x:v>
      </x:c>
      <x:c r="F270" s="4" t="n">
        <x:v>183333.33</x:v>
      </x:c>
      <x:c r="G270" s="4" t="n">
        <x:v>203344.75</x:v>
      </x:c>
    </x:row>
    <x:row r="271" ht="21" customHeight="1">
      <x:c r="A271" s="2" t="d">
        <x:v>2025-12-01T00:00:00.000Z</x:v>
      </x:c>
      <x:c r="B271" s="5" t="n">
        <x:v>2026</x:v>
      </x:c>
      <x:c r="C271" s="1" t="str">
        <x:v>Public Works</x:v>
      </x:c>
      <x:c r="D271" s="1" t="str">
        <x:v>Personnel</x:v>
      </x:c>
      <x:c r="E271" s="1" t="str">
        <x:v>Expense</x:v>
      </x:c>
      <x:c r="F271" s="4" t="n">
        <x:v>183333.33</x:v>
      </x:c>
      <x:c r="G271" s="4" t="n">
        <x:v>188263.25</x:v>
      </x:c>
    </x:row>
    <x:row r="272" ht="21" customHeight="1">
      <x:c r="A272" s="2" t="d">
        <x:v>2026-01-01T00:00:00.000Z</x:v>
      </x:c>
      <x:c r="B272" s="5" t="n">
        <x:v>2026</x:v>
      </x:c>
      <x:c r="C272" s="1" t="str">
        <x:v>Public Works</x:v>
      </x:c>
      <x:c r="D272" s="1" t="str">
        <x:v>Personnel</x:v>
      </x:c>
      <x:c r="E272" s="1" t="str">
        <x:v>Expense</x:v>
      </x:c>
      <x:c r="F272" s="4" t="n">
        <x:v>183333.33</x:v>
      </x:c>
      <x:c r="G272" s="4" t="n">
        <x:v>189938.1</x:v>
      </x:c>
    </x:row>
    <x:row r="273" ht="21" customHeight="1">
      <x:c r="A273" s="2" t="d">
        <x:v>2026-02-01T00:00:00.000Z</x:v>
      </x:c>
      <x:c r="B273" s="5" t="n">
        <x:v>2026</x:v>
      </x:c>
      <x:c r="C273" s="1" t="str">
        <x:v>Public Works</x:v>
      </x:c>
      <x:c r="D273" s="1" t="str">
        <x:v>Personnel</x:v>
      </x:c>
      <x:c r="E273" s="1" t="str">
        <x:v>Expense</x:v>
      </x:c>
      <x:c r="F273" s="4" t="n">
        <x:v>183333.33</x:v>
      </x:c>
      <x:c r="G273" s="4" t="n">
        <x:v>202265.69</x:v>
      </x:c>
    </x:row>
    <x:row r="274" ht="21" customHeight="1">
      <x:c r="A274" s="2" t="d">
        <x:v>2026-03-01T00:00:00.000Z</x:v>
      </x:c>
      <x:c r="B274" s="5" t="n">
        <x:v>2026</x:v>
      </x:c>
      <x:c r="C274" s="1" t="str">
        <x:v>Public Works</x:v>
      </x:c>
      <x:c r="D274" s="1" t="str">
        <x:v>Personnel</x:v>
      </x:c>
      <x:c r="E274" s="1" t="str">
        <x:v>Expense</x:v>
      </x:c>
      <x:c r="F274" s="4" t="n">
        <x:v>183333.33</x:v>
      </x:c>
      <x:c r="G274" s="4" t="n">
        <x:v>195721.71</x:v>
      </x:c>
    </x:row>
    <x:row r="275" ht="21" customHeight="1">
      <x:c r="A275" s="2" t="d">
        <x:v>2026-04-01T00:00:00.000Z</x:v>
      </x:c>
      <x:c r="B275" s="5" t="n">
        <x:v>2026</x:v>
      </x:c>
      <x:c r="C275" s="1" t="str">
        <x:v>Public Works</x:v>
      </x:c>
      <x:c r="D275" s="1" t="str">
        <x:v>Personnel</x:v>
      </x:c>
      <x:c r="E275" s="1" t="str">
        <x:v>Expense</x:v>
      </x:c>
      <x:c r="F275" s="4" t="n">
        <x:v>183333.33</x:v>
      </x:c>
      <x:c r="G275" s="4" t="n">
        <x:v>190025.14</x:v>
      </x:c>
    </x:row>
    <x:row r="276" ht="21" customHeight="1">
      <x:c r="A276" s="2" t="d">
        <x:v>2026-05-01T00:00:00.000Z</x:v>
      </x:c>
      <x:c r="B276" s="5" t="n">
        <x:v>2026</x:v>
      </x:c>
      <x:c r="C276" s="1" t="str">
        <x:v>Public Works</x:v>
      </x:c>
      <x:c r="D276" s="1" t="str">
        <x:v>Personnel</x:v>
      </x:c>
      <x:c r="E276" s="1" t="str">
        <x:v>Expense</x:v>
      </x:c>
      <x:c r="F276" s="4" t="n">
        <x:v>183333.33</x:v>
      </x:c>
      <x:c r="G276" s="4" t="n">
        <x:v>195140.07</x:v>
      </x:c>
    </x:row>
    <x:row r="277" ht="21" customHeight="1">
      <x:c r="A277" s="2" t="d">
        <x:v>2026-06-01T00:00:00.000Z</x:v>
      </x:c>
      <x:c r="B277" s="5" t="n">
        <x:v>2026</x:v>
      </x:c>
      <x:c r="C277" s="1" t="str">
        <x:v>Public Works</x:v>
      </x:c>
      <x:c r="D277" s="1" t="str">
        <x:v>Personnel</x:v>
      </x:c>
      <x:c r="E277" s="1" t="str">
        <x:v>Expense</x:v>
      </x:c>
      <x:c r="F277" s="4" t="n">
        <x:v>183333.37</x:v>
      </x:c>
      <x:c r="G277" s="4" t="n">
        <x:v>189317.06</x:v>
      </x:c>
    </x:row>
    <x:row r="278" ht="21" customHeight="1">
      <x:c r="A278" s="2" t="d">
        <x:v>2025-07-01T00:00:00.000Z</x:v>
      </x:c>
      <x:c r="B278" s="5" t="n">
        <x:v>2026</x:v>
      </x:c>
      <x:c r="C278" s="1" t="str">
        <x:v>Public Works</x:v>
      </x:c>
      <x:c r="D278" s="1" t="str">
        <x:v>Contract services</x:v>
      </x:c>
      <x:c r="E278" s="1" t="str">
        <x:v>Expense</x:v>
      </x:c>
      <x:c r="F278" s="4" t="n">
        <x:v>87500</x:v>
      </x:c>
      <x:c r="G278" s="4" t="n">
        <x:v>89925.23</x:v>
      </x:c>
    </x:row>
    <x:row r="279" ht="21" customHeight="1">
      <x:c r="A279" s="2" t="d">
        <x:v>2025-08-01T00:00:00.000Z</x:v>
      </x:c>
      <x:c r="B279" s="5" t="n">
        <x:v>2026</x:v>
      </x:c>
      <x:c r="C279" s="1" t="str">
        <x:v>Public Works</x:v>
      </x:c>
      <x:c r="D279" s="1" t="str">
        <x:v>Contract services</x:v>
      </x:c>
      <x:c r="E279" s="1" t="str">
        <x:v>Expense</x:v>
      </x:c>
      <x:c r="F279" s="4" t="n">
        <x:v>87500</x:v>
      </x:c>
      <x:c r="G279" s="4" t="n">
        <x:v>91829.29</x:v>
      </x:c>
    </x:row>
    <x:row r="280" ht="21" customHeight="1">
      <x:c r="A280" s="2" t="d">
        <x:v>2025-09-01T00:00:00.000Z</x:v>
      </x:c>
      <x:c r="B280" s="5" t="n">
        <x:v>2026</x:v>
      </x:c>
      <x:c r="C280" s="1" t="str">
        <x:v>Public Works</x:v>
      </x:c>
      <x:c r="D280" s="1" t="str">
        <x:v>Contract services</x:v>
      </x:c>
      <x:c r="E280" s="1" t="str">
        <x:v>Expense</x:v>
      </x:c>
      <x:c r="F280" s="4" t="n">
        <x:v>87500</x:v>
      </x:c>
      <x:c r="G280" s="4" t="n">
        <x:v>90143.24</x:v>
      </x:c>
    </x:row>
    <x:row r="281" ht="21" customHeight="1">
      <x:c r="A281" s="2" t="d">
        <x:v>2025-10-01T00:00:00.000Z</x:v>
      </x:c>
      <x:c r="B281" s="5" t="n">
        <x:v>2026</x:v>
      </x:c>
      <x:c r="C281" s="1" t="str">
        <x:v>Public Works</x:v>
      </x:c>
      <x:c r="D281" s="1" t="str">
        <x:v>Contract services</x:v>
      </x:c>
      <x:c r="E281" s="1" t="str">
        <x:v>Expense</x:v>
      </x:c>
      <x:c r="F281" s="4" t="n">
        <x:v>87500</x:v>
      </x:c>
      <x:c r="G281" s="4" t="n">
        <x:v>90723.32</x:v>
      </x:c>
    </x:row>
    <x:row r="282" ht="21" customHeight="1">
      <x:c r="A282" s="2" t="d">
        <x:v>2025-11-01T00:00:00.000Z</x:v>
      </x:c>
      <x:c r="B282" s="5" t="n">
        <x:v>2026</x:v>
      </x:c>
      <x:c r="C282" s="1" t="str">
        <x:v>Public Works</x:v>
      </x:c>
      <x:c r="D282" s="1" t="str">
        <x:v>Contract services</x:v>
      </x:c>
      <x:c r="E282" s="1" t="str">
        <x:v>Expense</x:v>
      </x:c>
      <x:c r="F282" s="4" t="n">
        <x:v>87500</x:v>
      </x:c>
      <x:c r="G282" s="4" t="n">
        <x:v>90760.59</x:v>
      </x:c>
    </x:row>
    <x:row r="283" ht="21" customHeight="1">
      <x:c r="A283" s="2" t="d">
        <x:v>2025-12-01T00:00:00.000Z</x:v>
      </x:c>
      <x:c r="B283" s="5" t="n">
        <x:v>2026</x:v>
      </x:c>
      <x:c r="C283" s="1" t="str">
        <x:v>Public Works</x:v>
      </x:c>
      <x:c r="D283" s="1" t="str">
        <x:v>Contract services</x:v>
      </x:c>
      <x:c r="E283" s="1" t="str">
        <x:v>Expense</x:v>
      </x:c>
      <x:c r="F283" s="4" t="n">
        <x:v>87500</x:v>
      </x:c>
      <x:c r="G283" s="4" t="n">
        <x:v>87748.56</x:v>
      </x:c>
    </x:row>
    <x:row r="284" ht="21" customHeight="1">
      <x:c r="A284" s="2" t="d">
        <x:v>2026-01-01T00:00:00.000Z</x:v>
      </x:c>
      <x:c r="B284" s="5" t="n">
        <x:v>2026</x:v>
      </x:c>
      <x:c r="C284" s="1" t="str">
        <x:v>Public Works</x:v>
      </x:c>
      <x:c r="D284" s="1" t="str">
        <x:v>Contract services</x:v>
      </x:c>
      <x:c r="E284" s="1" t="str">
        <x:v>Expense</x:v>
      </x:c>
      <x:c r="F284" s="4" t="n">
        <x:v>87500</x:v>
      </x:c>
      <x:c r="G284" s="4" t="n">
        <x:v>87230.37</x:v>
      </x:c>
    </x:row>
    <x:row r="285" ht="21" customHeight="1">
      <x:c r="A285" s="2" t="d">
        <x:v>2026-02-01T00:00:00.000Z</x:v>
      </x:c>
      <x:c r="B285" s="5" t="n">
        <x:v>2026</x:v>
      </x:c>
      <x:c r="C285" s="1" t="str">
        <x:v>Public Works</x:v>
      </x:c>
      <x:c r="D285" s="1" t="str">
        <x:v>Contract services</x:v>
      </x:c>
      <x:c r="E285" s="1" t="str">
        <x:v>Expense</x:v>
      </x:c>
      <x:c r="F285" s="4" t="n">
        <x:v>87500</x:v>
      </x:c>
      <x:c r="G285" s="4" t="n">
        <x:v>88840.2</x:v>
      </x:c>
    </x:row>
    <x:row r="286" ht="21" customHeight="1">
      <x:c r="A286" s="2" t="d">
        <x:v>2026-03-01T00:00:00.000Z</x:v>
      </x:c>
      <x:c r="B286" s="5" t="n">
        <x:v>2026</x:v>
      </x:c>
      <x:c r="C286" s="1" t="str">
        <x:v>Public Works</x:v>
      </x:c>
      <x:c r="D286" s="1" t="str">
        <x:v>Contract services</x:v>
      </x:c>
      <x:c r="E286" s="1" t="str">
        <x:v>Expense</x:v>
      </x:c>
      <x:c r="F286" s="4" t="n">
        <x:v>87500</x:v>
      </x:c>
      <x:c r="G286" s="4" t="n">
        <x:v>87211.75</x:v>
      </x:c>
    </x:row>
    <x:row r="287" ht="21" customHeight="1">
      <x:c r="A287" s="2" t="d">
        <x:v>2026-04-01T00:00:00.000Z</x:v>
      </x:c>
      <x:c r="B287" s="5" t="n">
        <x:v>2026</x:v>
      </x:c>
      <x:c r="C287" s="1" t="str">
        <x:v>Public Works</x:v>
      </x:c>
      <x:c r="D287" s="1" t="str">
        <x:v>Contract services</x:v>
      </x:c>
      <x:c r="E287" s="1" t="str">
        <x:v>Expense</x:v>
      </x:c>
      <x:c r="F287" s="4" t="n">
        <x:v>87500</x:v>
      </x:c>
      <x:c r="G287" s="4" t="n">
        <x:v>92001.78</x:v>
      </x:c>
    </x:row>
    <x:row r="288" ht="21" customHeight="1">
      <x:c r="A288" s="2" t="d">
        <x:v>2026-05-01T00:00:00.000Z</x:v>
      </x:c>
      <x:c r="B288" s="5" t="n">
        <x:v>2026</x:v>
      </x:c>
      <x:c r="C288" s="1" t="str">
        <x:v>Public Works</x:v>
      </x:c>
      <x:c r="D288" s="1" t="str">
        <x:v>Contract services</x:v>
      </x:c>
      <x:c r="E288" s="1" t="str">
        <x:v>Expense</x:v>
      </x:c>
      <x:c r="F288" s="4" t="n">
        <x:v>87500</x:v>
      </x:c>
      <x:c r="G288" s="4" t="n">
        <x:v>89905.63</x:v>
      </x:c>
    </x:row>
    <x:row r="289" ht="21" customHeight="1">
      <x:c r="A289" s="2" t="d">
        <x:v>2026-06-01T00:00:00.000Z</x:v>
      </x:c>
      <x:c r="B289" s="5" t="n">
        <x:v>2026</x:v>
      </x:c>
      <x:c r="C289" s="1" t="str">
        <x:v>Public Works</x:v>
      </x:c>
      <x:c r="D289" s="1" t="str">
        <x:v>Contract services</x:v>
      </x:c>
      <x:c r="E289" s="1" t="str">
        <x:v>Expense</x:v>
      </x:c>
      <x:c r="F289" s="4" t="n">
        <x:v>87500</x:v>
      </x:c>
      <x:c r="G289" s="4" t="n">
        <x:v>89930.04</x:v>
      </x:c>
    </x:row>
    <x:row r="290" ht="21" customHeight="1">
      <x:c r="A290" s="2" t="d">
        <x:v>2025-07-01T00:00:00.000Z</x:v>
      </x:c>
      <x:c r="B290" s="5" t="n">
        <x:v>2026</x:v>
      </x:c>
      <x:c r="C290" s="1" t="str">
        <x:v>Public Works</x:v>
      </x:c>
      <x:c r="D290" s="1" t="str">
        <x:v>Materials</x:v>
      </x:c>
      <x:c r="E290" s="1" t="str">
        <x:v>Expense</x:v>
      </x:c>
      <x:c r="F290" s="4" t="n">
        <x:v>43333.33</x:v>
      </x:c>
      <x:c r="G290" s="4" t="n">
        <x:v>44227.63</x:v>
      </x:c>
    </x:row>
    <x:row r="291" ht="21" customHeight="1">
      <x:c r="A291" s="2" t="d">
        <x:v>2025-08-01T00:00:00.000Z</x:v>
      </x:c>
      <x:c r="B291" s="5" t="n">
        <x:v>2026</x:v>
      </x:c>
      <x:c r="C291" s="1" t="str">
        <x:v>Public Works</x:v>
      </x:c>
      <x:c r="D291" s="1" t="str">
        <x:v>Materials</x:v>
      </x:c>
      <x:c r="E291" s="1" t="str">
        <x:v>Expense</x:v>
      </x:c>
      <x:c r="F291" s="4" t="n">
        <x:v>43333.33</x:v>
      </x:c>
      <x:c r="G291" s="4" t="n">
        <x:v>45292.6</x:v>
      </x:c>
    </x:row>
    <x:row r="292" ht="21" customHeight="1">
      <x:c r="A292" s="2" t="d">
        <x:v>2025-09-01T00:00:00.000Z</x:v>
      </x:c>
      <x:c r="B292" s="5" t="n">
        <x:v>2026</x:v>
      </x:c>
      <x:c r="C292" s="1" t="str">
        <x:v>Public Works</x:v>
      </x:c>
      <x:c r="D292" s="1" t="str">
        <x:v>Materials</x:v>
      </x:c>
      <x:c r="E292" s="1" t="str">
        <x:v>Expense</x:v>
      </x:c>
      <x:c r="F292" s="4" t="n">
        <x:v>36666.67</x:v>
      </x:c>
      <x:c r="G292" s="4" t="n">
        <x:v>36995.91</x:v>
      </x:c>
    </x:row>
    <x:row r="293" ht="21" customHeight="1">
      <x:c r="A293" s="2" t="d">
        <x:v>2025-10-01T00:00:00.000Z</x:v>
      </x:c>
      <x:c r="B293" s="5" t="n">
        <x:v>2026</x:v>
      </x:c>
      <x:c r="C293" s="1" t="str">
        <x:v>Public Works</x:v>
      </x:c>
      <x:c r="D293" s="1" t="str">
        <x:v>Materials</x:v>
      </x:c>
      <x:c r="E293" s="1" t="str">
        <x:v>Expense</x:v>
      </x:c>
      <x:c r="F293" s="4" t="n">
        <x:v>30000</x:v>
      </x:c>
      <x:c r="G293" s="4" t="n">
        <x:v>31397.89</x:v>
      </x:c>
    </x:row>
    <x:row r="294" ht="21" customHeight="1">
      <x:c r="A294" s="2" t="d">
        <x:v>2025-11-01T00:00:00.000Z</x:v>
      </x:c>
      <x:c r="B294" s="5" t="n">
        <x:v>2026</x:v>
      </x:c>
      <x:c r="C294" s="1" t="str">
        <x:v>Public Works</x:v>
      </x:c>
      <x:c r="D294" s="1" t="str">
        <x:v>Materials</x:v>
      </x:c>
      <x:c r="E294" s="1" t="str">
        <x:v>Expense</x:v>
      </x:c>
      <x:c r="F294" s="4" t="n">
        <x:v>28333.33</x:v>
      </x:c>
      <x:c r="G294" s="4" t="n">
        <x:v>29938.62</x:v>
      </x:c>
    </x:row>
    <x:row r="295" ht="21" customHeight="1">
      <x:c r="A295" s="2" t="d">
        <x:v>2025-12-01T00:00:00.000Z</x:v>
      </x:c>
      <x:c r="B295" s="5" t="n">
        <x:v>2026</x:v>
      </x:c>
      <x:c r="C295" s="1" t="str">
        <x:v>Public Works</x:v>
      </x:c>
      <x:c r="D295" s="1" t="str">
        <x:v>Materials</x:v>
      </x:c>
      <x:c r="E295" s="1" t="str">
        <x:v>Expense</x:v>
      </x:c>
      <x:c r="F295" s="4" t="n">
        <x:v>26666.67</x:v>
      </x:c>
      <x:c r="G295" s="4" t="n">
        <x:v>27724.27</x:v>
      </x:c>
    </x:row>
    <x:row r="296" ht="21" customHeight="1">
      <x:c r="A296" s="2" t="d">
        <x:v>2026-01-01T00:00:00.000Z</x:v>
      </x:c>
      <x:c r="B296" s="5" t="n">
        <x:v>2026</x:v>
      </x:c>
      <x:c r="C296" s="1" t="str">
        <x:v>Public Works</x:v>
      </x:c>
      <x:c r="D296" s="1" t="str">
        <x:v>Materials</x:v>
      </x:c>
      <x:c r="E296" s="1" t="str">
        <x:v>Expense</x:v>
      </x:c>
      <x:c r="F296" s="4" t="n">
        <x:v>26666.67</x:v>
      </x:c>
      <x:c r="G296" s="4" t="n">
        <x:v>27970.91</x:v>
      </x:c>
    </x:row>
    <x:row r="297" ht="21" customHeight="1">
      <x:c r="A297" s="2" t="d">
        <x:v>2026-02-01T00:00:00.000Z</x:v>
      </x:c>
      <x:c r="B297" s="5" t="n">
        <x:v>2026</x:v>
      </x:c>
      <x:c r="C297" s="1" t="str">
        <x:v>Public Works</x:v>
      </x:c>
      <x:c r="D297" s="1" t="str">
        <x:v>Materials</x:v>
      </x:c>
      <x:c r="E297" s="1" t="str">
        <x:v>Expense</x:v>
      </x:c>
      <x:c r="F297" s="4" t="n">
        <x:v>28333.33</x:v>
      </x:c>
      <x:c r="G297" s="4" t="n">
        <x:v>29274.11</x:v>
      </x:c>
    </x:row>
    <x:row r="298" ht="21" customHeight="1">
      <x:c r="A298" s="2" t="d">
        <x:v>2026-03-01T00:00:00.000Z</x:v>
      </x:c>
      <x:c r="B298" s="5" t="n">
        <x:v>2026</x:v>
      </x:c>
      <x:c r="C298" s="1" t="str">
        <x:v>Public Works</x:v>
      </x:c>
      <x:c r="D298" s="1" t="str">
        <x:v>Materials</x:v>
      </x:c>
      <x:c r="E298" s="1" t="str">
        <x:v>Expense</x:v>
      </x:c>
      <x:c r="F298" s="4" t="n">
        <x:v>31666.67</x:v>
      </x:c>
      <x:c r="G298" s="4" t="n">
        <x:v>32583.01</x:v>
      </x:c>
    </x:row>
    <x:row r="299" ht="21" customHeight="1">
      <x:c r="A299" s="2" t="d">
        <x:v>2026-04-01T00:00:00.000Z</x:v>
      </x:c>
      <x:c r="B299" s="5" t="n">
        <x:v>2026</x:v>
      </x:c>
      <x:c r="C299" s="1" t="str">
        <x:v>Public Works</x:v>
      </x:c>
      <x:c r="D299" s="1" t="str">
        <x:v>Materials</x:v>
      </x:c>
      <x:c r="E299" s="1" t="str">
        <x:v>Expense</x:v>
      </x:c>
      <x:c r="F299" s="4" t="n">
        <x:v>33333.33</x:v>
      </x:c>
      <x:c r="G299" s="4" t="n">
        <x:v>33680.83</x:v>
      </x:c>
    </x:row>
    <x:row r="300" ht="21" customHeight="1">
      <x:c r="A300" s="2" t="d">
        <x:v>2026-05-01T00:00:00.000Z</x:v>
      </x:c>
      <x:c r="B300" s="5" t="n">
        <x:v>2026</x:v>
      </x:c>
      <x:c r="C300" s="1" t="str">
        <x:v>Public Works</x:v>
      </x:c>
      <x:c r="D300" s="1" t="str">
        <x:v>Materials</x:v>
      </x:c>
      <x:c r="E300" s="1" t="str">
        <x:v>Expense</x:v>
      </x:c>
      <x:c r="F300" s="4" t="n">
        <x:v>35000</x:v>
      </x:c>
      <x:c r="G300" s="4" t="n">
        <x:v>37163.51</x:v>
      </x:c>
    </x:row>
    <x:row r="301" ht="21" customHeight="1">
      <x:c r="A301" s="2" t="d">
        <x:v>2026-06-01T00:00:00.000Z</x:v>
      </x:c>
      <x:c r="B301" s="5" t="n">
        <x:v>2026</x:v>
      </x:c>
      <x:c r="C301" s="1" t="str">
        <x:v>Public Works</x:v>
      </x:c>
      <x:c r="D301" s="1" t="str">
        <x:v>Materials</x:v>
      </x:c>
      <x:c r="E301" s="1" t="str">
        <x:v>Expense</x:v>
      </x:c>
      <x:c r="F301" s="4" t="n">
        <x:v>36666.67</x:v>
      </x:c>
      <x:c r="G301" s="4" t="n">
        <x:v>39750.71</x:v>
      </x:c>
    </x:row>
    <x:row r="302" ht="21" customHeight="1">
      <x:c r="A302" s="2" t="d">
        <x:v>2025-07-01T00:00:00.000Z</x:v>
      </x:c>
      <x:c r="B302" s="5" t="n">
        <x:v>2026</x:v>
      </x:c>
      <x:c r="C302" s="1" t="str">
        <x:v>Parks and Recreation</x:v>
      </x:c>
      <x:c r="D302" s="1" t="str">
        <x:v>Assigned operating support</x:v>
      </x:c>
      <x:c r="E302" s="1" t="str">
        <x:v>Funding</x:v>
      </x:c>
      <x:c r="F302" s="4" t="n">
        <x:v>150000</x:v>
      </x:c>
      <x:c r="G302" s="4" t="n">
        <x:v>144069.64</x:v>
      </x:c>
    </x:row>
    <x:row r="303" ht="21" customHeight="1">
      <x:c r="A303" s="2" t="d">
        <x:v>2025-08-01T00:00:00.000Z</x:v>
      </x:c>
      <x:c r="B303" s="5" t="n">
        <x:v>2026</x:v>
      </x:c>
      <x:c r="C303" s="1" t="str">
        <x:v>Parks and Recreation</x:v>
      </x:c>
      <x:c r="D303" s="1" t="str">
        <x:v>Assigned operating support</x:v>
      </x:c>
      <x:c r="E303" s="1" t="str">
        <x:v>Funding</x:v>
      </x:c>
      <x:c r="F303" s="4" t="n">
        <x:v>150000</x:v>
      </x:c>
      <x:c r="G303" s="4" t="n">
        <x:v>154841.91</x:v>
      </x:c>
    </x:row>
    <x:row r="304" ht="21" customHeight="1">
      <x:c r="A304" s="2" t="d">
        <x:v>2025-09-01T00:00:00.000Z</x:v>
      </x:c>
      <x:c r="B304" s="5" t="n">
        <x:v>2026</x:v>
      </x:c>
      <x:c r="C304" s="1" t="str">
        <x:v>Parks and Recreation</x:v>
      </x:c>
      <x:c r="D304" s="1" t="str">
        <x:v>Assigned operating support</x:v>
      </x:c>
      <x:c r="E304" s="1" t="str">
        <x:v>Funding</x:v>
      </x:c>
      <x:c r="F304" s="4" t="n">
        <x:v>150000</x:v>
      </x:c>
      <x:c r="G304" s="4" t="n">
        <x:v>148588.65</x:v>
      </x:c>
    </x:row>
    <x:row r="305" ht="21" customHeight="1">
      <x:c r="A305" s="2" t="d">
        <x:v>2025-10-01T00:00:00.000Z</x:v>
      </x:c>
      <x:c r="B305" s="5" t="n">
        <x:v>2026</x:v>
      </x:c>
      <x:c r="C305" s="1" t="str">
        <x:v>Parks and Recreation</x:v>
      </x:c>
      <x:c r="D305" s="1" t="str">
        <x:v>Assigned operating support</x:v>
      </x:c>
      <x:c r="E305" s="1" t="str">
        <x:v>Funding</x:v>
      </x:c>
      <x:c r="F305" s="4" t="n">
        <x:v>150000</x:v>
      </x:c>
      <x:c r="G305" s="4" t="n">
        <x:v>148190.12</x:v>
      </x:c>
    </x:row>
    <x:row r="306" ht="21" customHeight="1">
      <x:c r="A306" s="2" t="d">
        <x:v>2025-11-01T00:00:00.000Z</x:v>
      </x:c>
      <x:c r="B306" s="5" t="n">
        <x:v>2026</x:v>
      </x:c>
      <x:c r="C306" s="1" t="str">
        <x:v>Parks and Recreation</x:v>
      </x:c>
      <x:c r="D306" s="1" t="str">
        <x:v>Assigned operating support</x:v>
      </x:c>
      <x:c r="E306" s="1" t="str">
        <x:v>Funding</x:v>
      </x:c>
      <x:c r="F306" s="4" t="n">
        <x:v>150000</x:v>
      </x:c>
      <x:c r="G306" s="4" t="n">
        <x:v>145336.49</x:v>
      </x:c>
    </x:row>
    <x:row r="307" ht="21" customHeight="1">
      <x:c r="A307" s="2" t="d">
        <x:v>2025-12-01T00:00:00.000Z</x:v>
      </x:c>
      <x:c r="B307" s="5" t="n">
        <x:v>2026</x:v>
      </x:c>
      <x:c r="C307" s="1" t="str">
        <x:v>Parks and Recreation</x:v>
      </x:c>
      <x:c r="D307" s="1" t="str">
        <x:v>Assigned operating support</x:v>
      </x:c>
      <x:c r="E307" s="1" t="str">
        <x:v>Funding</x:v>
      </x:c>
      <x:c r="F307" s="4" t="n">
        <x:v>150000</x:v>
      </x:c>
      <x:c r="G307" s="4" t="n">
        <x:v>143935.52</x:v>
      </x:c>
    </x:row>
    <x:row r="308" ht="21" customHeight="1">
      <x:c r="A308" s="2" t="d">
        <x:v>2026-01-01T00:00:00.000Z</x:v>
      </x:c>
      <x:c r="B308" s="5" t="n">
        <x:v>2026</x:v>
      </x:c>
      <x:c r="C308" s="1" t="str">
        <x:v>Parks and Recreation</x:v>
      </x:c>
      <x:c r="D308" s="1" t="str">
        <x:v>Assigned operating support</x:v>
      </x:c>
      <x:c r="E308" s="1" t="str">
        <x:v>Funding</x:v>
      </x:c>
      <x:c r="F308" s="4" t="n">
        <x:v>150000</x:v>
      </x:c>
      <x:c r="G308" s="4" t="n">
        <x:v>153810.46</x:v>
      </x:c>
    </x:row>
    <x:row r="309" ht="21" customHeight="1">
      <x:c r="A309" s="2" t="d">
        <x:v>2026-02-01T00:00:00.000Z</x:v>
      </x:c>
      <x:c r="B309" s="5" t="n">
        <x:v>2026</x:v>
      </x:c>
      <x:c r="C309" s="1" t="str">
        <x:v>Parks and Recreation</x:v>
      </x:c>
      <x:c r="D309" s="1" t="str">
        <x:v>Assigned operating support</x:v>
      </x:c>
      <x:c r="E309" s="1" t="str">
        <x:v>Funding</x:v>
      </x:c>
      <x:c r="F309" s="4" t="n">
        <x:v>150000</x:v>
      </x:c>
      <x:c r="G309" s="4" t="n">
        <x:v>152976.19</x:v>
      </x:c>
    </x:row>
    <x:row r="310" ht="21" customHeight="1">
      <x:c r="A310" s="2" t="d">
        <x:v>2026-03-01T00:00:00.000Z</x:v>
      </x:c>
      <x:c r="B310" s="5" t="n">
        <x:v>2026</x:v>
      </x:c>
      <x:c r="C310" s="1" t="str">
        <x:v>Parks and Recreation</x:v>
      </x:c>
      <x:c r="D310" s="1" t="str">
        <x:v>Assigned operating support</x:v>
      </x:c>
      <x:c r="E310" s="1" t="str">
        <x:v>Funding</x:v>
      </x:c>
      <x:c r="F310" s="4" t="n">
        <x:v>150000</x:v>
      </x:c>
      <x:c r="G310" s="4" t="n">
        <x:v>143815.68</x:v>
      </x:c>
    </x:row>
    <x:row r="311" ht="21" customHeight="1">
      <x:c r="A311" s="2" t="d">
        <x:v>2026-04-01T00:00:00.000Z</x:v>
      </x:c>
      <x:c r="B311" s="5" t="n">
        <x:v>2026</x:v>
      </x:c>
      <x:c r="C311" s="1" t="str">
        <x:v>Parks and Recreation</x:v>
      </x:c>
      <x:c r="D311" s="1" t="str">
        <x:v>Assigned operating support</x:v>
      </x:c>
      <x:c r="E311" s="1" t="str">
        <x:v>Funding</x:v>
      </x:c>
      <x:c r="F311" s="4" t="n">
        <x:v>150000</x:v>
      </x:c>
      <x:c r="G311" s="4" t="n">
        <x:v>153898.85</x:v>
      </x:c>
    </x:row>
    <x:row r="312" ht="21" customHeight="1">
      <x:c r="A312" s="2" t="d">
        <x:v>2026-05-01T00:00:00.000Z</x:v>
      </x:c>
      <x:c r="B312" s="5" t="n">
        <x:v>2026</x:v>
      </x:c>
      <x:c r="C312" s="1" t="str">
        <x:v>Parks and Recreation</x:v>
      </x:c>
      <x:c r="D312" s="1" t="str">
        <x:v>Assigned operating support</x:v>
      </x:c>
      <x:c r="E312" s="1" t="str">
        <x:v>Funding</x:v>
      </x:c>
      <x:c r="F312" s="4" t="n">
        <x:v>150000</x:v>
      </x:c>
      <x:c r="G312" s="4" t="n">
        <x:v>147105.27</x:v>
      </x:c>
    </x:row>
    <x:row r="313" ht="21" customHeight="1">
      <x:c r="A313" s="2" t="d">
        <x:v>2026-06-01T00:00:00.000Z</x:v>
      </x:c>
      <x:c r="B313" s="5" t="n">
        <x:v>2026</x:v>
      </x:c>
      <x:c r="C313" s="1" t="str">
        <x:v>Parks and Recreation</x:v>
      </x:c>
      <x:c r="D313" s="1" t="str">
        <x:v>Assigned operating support</x:v>
      </x:c>
      <x:c r="E313" s="1" t="str">
        <x:v>Funding</x:v>
      </x:c>
      <x:c r="F313" s="4" t="n">
        <x:v>150000</x:v>
      </x:c>
      <x:c r="G313" s="4" t="n">
        <x:v>145431.22</x:v>
      </x:c>
    </x:row>
    <x:row r="314" ht="21" customHeight="1">
      <x:c r="A314" s="2" t="d">
        <x:v>2025-07-01T00:00:00.000Z</x:v>
      </x:c>
      <x:c r="B314" s="5" t="n">
        <x:v>2026</x:v>
      </x:c>
      <x:c r="C314" s="1" t="str">
        <x:v>Parks and Recreation</x:v>
      </x:c>
      <x:c r="D314" s="1" t="str">
        <x:v>Service fees</x:v>
      </x:c>
      <x:c r="E314" s="1" t="str">
        <x:v>Funding</x:v>
      </x:c>
      <x:c r="F314" s="4" t="n">
        <x:v>97500</x:v>
      </x:c>
      <x:c r="G314" s="4" t="n">
        <x:v>91482.73</x:v>
      </x:c>
    </x:row>
    <x:row r="315" ht="21" customHeight="1">
      <x:c r="A315" s="2" t="d">
        <x:v>2025-08-01T00:00:00.000Z</x:v>
      </x:c>
      <x:c r="B315" s="5" t="n">
        <x:v>2026</x:v>
      </x:c>
      <x:c r="C315" s="1" t="str">
        <x:v>Parks and Recreation</x:v>
      </x:c>
      <x:c r="D315" s="1" t="str">
        <x:v>Service fees</x:v>
      </x:c>
      <x:c r="E315" s="1" t="str">
        <x:v>Funding</x:v>
      </x:c>
      <x:c r="F315" s="4" t="n">
        <x:v>97500</x:v>
      </x:c>
      <x:c r="G315" s="4" t="n">
        <x:v>95166.2</x:v>
      </x:c>
    </x:row>
    <x:row r="316" ht="21" customHeight="1">
      <x:c r="A316" s="2" t="d">
        <x:v>2025-09-01T00:00:00.000Z</x:v>
      </x:c>
      <x:c r="B316" s="5" t="n">
        <x:v>2026</x:v>
      </x:c>
      <x:c r="C316" s="1" t="str">
        <x:v>Parks and Recreation</x:v>
      </x:c>
      <x:c r="D316" s="1" t="str">
        <x:v>Service fees</x:v>
      </x:c>
      <x:c r="E316" s="1" t="str">
        <x:v>Funding</x:v>
      </x:c>
      <x:c r="F316" s="4" t="n">
        <x:v>82500</x:v>
      </x:c>
      <x:c r="G316" s="4" t="n">
        <x:v>77347.5</x:v>
      </x:c>
    </x:row>
    <x:row r="317" ht="21" customHeight="1">
      <x:c r="A317" s="2" t="d">
        <x:v>2025-10-01T00:00:00.000Z</x:v>
      </x:c>
      <x:c r="B317" s="5" t="n">
        <x:v>2026</x:v>
      </x:c>
      <x:c r="C317" s="1" t="str">
        <x:v>Parks and Recreation</x:v>
      </x:c>
      <x:c r="D317" s="1" t="str">
        <x:v>Service fees</x:v>
      </x:c>
      <x:c r="E317" s="1" t="str">
        <x:v>Funding</x:v>
      </x:c>
      <x:c r="F317" s="4" t="n">
        <x:v>67500</x:v>
      </x:c>
      <x:c r="G317" s="4" t="n">
        <x:v>64275.33</x:v>
      </x:c>
    </x:row>
    <x:row r="318" ht="21" customHeight="1">
      <x:c r="A318" s="2" t="d">
        <x:v>2025-11-01T00:00:00.000Z</x:v>
      </x:c>
      <x:c r="B318" s="5" t="n">
        <x:v>2026</x:v>
      </x:c>
      <x:c r="C318" s="1" t="str">
        <x:v>Parks and Recreation</x:v>
      </x:c>
      <x:c r="D318" s="1" t="str">
        <x:v>Service fees</x:v>
      </x:c>
      <x:c r="E318" s="1" t="str">
        <x:v>Funding</x:v>
      </x:c>
      <x:c r="F318" s="4" t="n">
        <x:v>63750</x:v>
      </x:c>
      <x:c r="G318" s="4" t="n">
        <x:v>62029.23</x:v>
      </x:c>
    </x:row>
    <x:row r="319" ht="21" customHeight="1">
      <x:c r="A319" s="2" t="d">
        <x:v>2025-12-01T00:00:00.000Z</x:v>
      </x:c>
      <x:c r="B319" s="5" t="n">
        <x:v>2026</x:v>
      </x:c>
      <x:c r="C319" s="1" t="str">
        <x:v>Parks and Recreation</x:v>
      </x:c>
      <x:c r="D319" s="1" t="str">
        <x:v>Service fees</x:v>
      </x:c>
      <x:c r="E319" s="1" t="str">
        <x:v>Funding</x:v>
      </x:c>
      <x:c r="F319" s="4" t="n">
        <x:v>60000</x:v>
      </x:c>
      <x:c r="G319" s="4" t="n">
        <x:v>58501.41</x:v>
      </x:c>
    </x:row>
    <x:row r="320" ht="21" customHeight="1">
      <x:c r="A320" s="2" t="d">
        <x:v>2026-01-01T00:00:00.000Z</x:v>
      </x:c>
      <x:c r="B320" s="5" t="n">
        <x:v>2026</x:v>
      </x:c>
      <x:c r="C320" s="1" t="str">
        <x:v>Parks and Recreation</x:v>
      </x:c>
      <x:c r="D320" s="1" t="str">
        <x:v>Service fees</x:v>
      </x:c>
      <x:c r="E320" s="1" t="str">
        <x:v>Funding</x:v>
      </x:c>
      <x:c r="F320" s="4" t="n">
        <x:v>60000</x:v>
      </x:c>
      <x:c r="G320" s="4" t="n">
        <x:v>58691.36</x:v>
      </x:c>
    </x:row>
    <x:row r="321" ht="21" customHeight="1">
      <x:c r="A321" s="2" t="d">
        <x:v>2026-02-01T00:00:00.000Z</x:v>
      </x:c>
      <x:c r="B321" s="5" t="n">
        <x:v>2026</x:v>
      </x:c>
      <x:c r="C321" s="1" t="str">
        <x:v>Parks and Recreation</x:v>
      </x:c>
      <x:c r="D321" s="1" t="str">
        <x:v>Service fees</x:v>
      </x:c>
      <x:c r="E321" s="1" t="str">
        <x:v>Funding</x:v>
      </x:c>
      <x:c r="F321" s="4" t="n">
        <x:v>63750</x:v>
      </x:c>
      <x:c r="G321" s="4" t="n">
        <x:v>60725.27</x:v>
      </x:c>
    </x:row>
    <x:row r="322" ht="21" customHeight="1">
      <x:c r="A322" s="2" t="d">
        <x:v>2026-03-01T00:00:00.000Z</x:v>
      </x:c>
      <x:c r="B322" s="5" t="n">
        <x:v>2026</x:v>
      </x:c>
      <x:c r="C322" s="1" t="str">
        <x:v>Parks and Recreation</x:v>
      </x:c>
      <x:c r="D322" s="1" t="str">
        <x:v>Service fees</x:v>
      </x:c>
      <x:c r="E322" s="1" t="str">
        <x:v>Funding</x:v>
      </x:c>
      <x:c r="F322" s="4" t="n">
        <x:v>71250</x:v>
      </x:c>
      <x:c r="G322" s="4" t="n">
        <x:v>67592.54</x:v>
      </x:c>
    </x:row>
    <x:row r="323" ht="21" customHeight="1">
      <x:c r="A323" s="2" t="d">
        <x:v>2026-04-01T00:00:00.000Z</x:v>
      </x:c>
      <x:c r="B323" s="5" t="n">
        <x:v>2026</x:v>
      </x:c>
      <x:c r="C323" s="1" t="str">
        <x:v>Parks and Recreation</x:v>
      </x:c>
      <x:c r="D323" s="1" t="str">
        <x:v>Service fees</x:v>
      </x:c>
      <x:c r="E323" s="1" t="str">
        <x:v>Funding</x:v>
      </x:c>
      <x:c r="F323" s="4" t="n">
        <x:v>75000</x:v>
      </x:c>
      <x:c r="G323" s="4" t="n">
        <x:v>70742.63</x:v>
      </x:c>
    </x:row>
    <x:row r="324" ht="21" customHeight="1">
      <x:c r="A324" s="2" t="d">
        <x:v>2026-05-01T00:00:00.000Z</x:v>
      </x:c>
      <x:c r="B324" s="5" t="n">
        <x:v>2026</x:v>
      </x:c>
      <x:c r="C324" s="1" t="str">
        <x:v>Parks and Recreation</x:v>
      </x:c>
      <x:c r="D324" s="1" t="str">
        <x:v>Service fees</x:v>
      </x:c>
      <x:c r="E324" s="1" t="str">
        <x:v>Funding</x:v>
      </x:c>
      <x:c r="F324" s="4" t="n">
        <x:v>78750</x:v>
      </x:c>
      <x:c r="G324" s="4" t="n">
        <x:v>75971.58</x:v>
      </x:c>
    </x:row>
    <x:row r="325" ht="21" customHeight="1">
      <x:c r="A325" s="2" t="d">
        <x:v>2026-06-01T00:00:00.000Z</x:v>
      </x:c>
      <x:c r="B325" s="5" t="n">
        <x:v>2026</x:v>
      </x:c>
      <x:c r="C325" s="1" t="str">
        <x:v>Parks and Recreation</x:v>
      </x:c>
      <x:c r="D325" s="1" t="str">
        <x:v>Service fees</x:v>
      </x:c>
      <x:c r="E325" s="1" t="str">
        <x:v>Funding</x:v>
      </x:c>
      <x:c r="F325" s="4" t="n">
        <x:v>82500</x:v>
      </x:c>
      <x:c r="G325" s="4" t="n">
        <x:v>81474.22</x:v>
      </x:c>
    </x:row>
    <x:row r="326" ht="21" customHeight="1">
      <x:c r="A326" s="2" t="d">
        <x:v>2025-07-01T00:00:00.000Z</x:v>
      </x:c>
      <x:c r="B326" s="5" t="n">
        <x:v>2026</x:v>
      </x:c>
      <x:c r="C326" s="1" t="str">
        <x:v>Parks and Recreation</x:v>
      </x:c>
      <x:c r="D326" s="1" t="str">
        <x:v>Personnel</x:v>
      </x:c>
      <x:c r="E326" s="1" t="str">
        <x:v>Expense</x:v>
      </x:c>
      <x:c r="F326" s="4" t="n">
        <x:v>141666.67</x:v>
      </x:c>
      <x:c r="G326" s="4" t="n">
        <x:v>141574.53</x:v>
      </x:c>
    </x:row>
    <x:row r="327" ht="21" customHeight="1">
      <x:c r="A327" s="2" t="d">
        <x:v>2025-08-01T00:00:00.000Z</x:v>
      </x:c>
      <x:c r="B327" s="5" t="n">
        <x:v>2026</x:v>
      </x:c>
      <x:c r="C327" s="1" t="str">
        <x:v>Parks and Recreation</x:v>
      </x:c>
      <x:c r="D327" s="1" t="str">
        <x:v>Personnel</x:v>
      </x:c>
      <x:c r="E327" s="1" t="str">
        <x:v>Expense</x:v>
      </x:c>
      <x:c r="F327" s="4" t="n">
        <x:v>141666.67</x:v>
      </x:c>
      <x:c r="G327" s="4" t="n">
        <x:v>149630.52</x:v>
      </x:c>
    </x:row>
    <x:row r="328" ht="21" customHeight="1">
      <x:c r="A328" s="2" t="d">
        <x:v>2025-09-01T00:00:00.000Z</x:v>
      </x:c>
      <x:c r="B328" s="5" t="n">
        <x:v>2026</x:v>
      </x:c>
      <x:c r="C328" s="1" t="str">
        <x:v>Parks and Recreation</x:v>
      </x:c>
      <x:c r="D328" s="1" t="str">
        <x:v>Personnel</x:v>
      </x:c>
      <x:c r="E328" s="1" t="str">
        <x:v>Expense</x:v>
      </x:c>
      <x:c r="F328" s="4" t="n">
        <x:v>141666.67</x:v>
      </x:c>
      <x:c r="G328" s="4" t="n">
        <x:v>147026.77</x:v>
      </x:c>
    </x:row>
    <x:row r="329" ht="21" customHeight="1">
      <x:c r="A329" s="2" t="d">
        <x:v>2025-10-01T00:00:00.000Z</x:v>
      </x:c>
      <x:c r="B329" s="5" t="n">
        <x:v>2026</x:v>
      </x:c>
      <x:c r="C329" s="1" t="str">
        <x:v>Parks and Recreation</x:v>
      </x:c>
      <x:c r="D329" s="1" t="str">
        <x:v>Personnel</x:v>
      </x:c>
      <x:c r="E329" s="1" t="str">
        <x:v>Expense</x:v>
      </x:c>
      <x:c r="F329" s="4" t="n">
        <x:v>141666.67</x:v>
      </x:c>
      <x:c r="G329" s="4" t="n">
        <x:v>145803.46</x:v>
      </x:c>
    </x:row>
    <x:row r="330" ht="21" customHeight="1">
      <x:c r="A330" s="2" t="d">
        <x:v>2025-11-01T00:00:00.000Z</x:v>
      </x:c>
      <x:c r="B330" s="5" t="n">
        <x:v>2026</x:v>
      </x:c>
      <x:c r="C330" s="1" t="str">
        <x:v>Parks and Recreation</x:v>
      </x:c>
      <x:c r="D330" s="1" t="str">
        <x:v>Personnel</x:v>
      </x:c>
      <x:c r="E330" s="1" t="str">
        <x:v>Expense</x:v>
      </x:c>
      <x:c r="F330" s="4" t="n">
        <x:v>141666.67</x:v>
      </x:c>
      <x:c r="G330" s="4" t="n">
        <x:v>140307.01</x:v>
      </x:c>
    </x:row>
    <x:row r="331" ht="21" customHeight="1">
      <x:c r="A331" s="2" t="d">
        <x:v>2025-12-01T00:00:00.000Z</x:v>
      </x:c>
      <x:c r="B331" s="5" t="n">
        <x:v>2026</x:v>
      </x:c>
      <x:c r="C331" s="1" t="str">
        <x:v>Parks and Recreation</x:v>
      </x:c>
      <x:c r="D331" s="1" t="str">
        <x:v>Personnel</x:v>
      </x:c>
      <x:c r="E331" s="1" t="str">
        <x:v>Expense</x:v>
      </x:c>
      <x:c r="F331" s="4" t="n">
        <x:v>141666.67</x:v>
      </x:c>
      <x:c r="G331" s="4" t="n">
        <x:v>143088.03</x:v>
      </x:c>
    </x:row>
    <x:row r="332" ht="21" customHeight="1">
      <x:c r="A332" s="2" t="d">
        <x:v>2026-01-01T00:00:00.000Z</x:v>
      </x:c>
      <x:c r="B332" s="5" t="n">
        <x:v>2026</x:v>
      </x:c>
      <x:c r="C332" s="1" t="str">
        <x:v>Parks and Recreation</x:v>
      </x:c>
      <x:c r="D332" s="1" t="str">
        <x:v>Personnel</x:v>
      </x:c>
      <x:c r="E332" s="1" t="str">
        <x:v>Expense</x:v>
      </x:c>
      <x:c r="F332" s="4" t="n">
        <x:v>141666.67</x:v>
      </x:c>
      <x:c r="G332" s="4" t="n">
        <x:v>144925.41</x:v>
      </x:c>
    </x:row>
    <x:row r="333" ht="21" customHeight="1">
      <x:c r="A333" s="2" t="d">
        <x:v>2026-02-01T00:00:00.000Z</x:v>
      </x:c>
      <x:c r="B333" s="5" t="n">
        <x:v>2026</x:v>
      </x:c>
      <x:c r="C333" s="1" t="str">
        <x:v>Parks and Recreation</x:v>
      </x:c>
      <x:c r="D333" s="1" t="str">
        <x:v>Personnel</x:v>
      </x:c>
      <x:c r="E333" s="1" t="str">
        <x:v>Expense</x:v>
      </x:c>
      <x:c r="F333" s="4" t="n">
        <x:v>141666.67</x:v>
      </x:c>
      <x:c r="G333" s="4" t="n">
        <x:v>144516.51</x:v>
      </x:c>
    </x:row>
    <x:row r="334" ht="21" customHeight="1">
      <x:c r="A334" s="2" t="d">
        <x:v>2026-03-01T00:00:00.000Z</x:v>
      </x:c>
      <x:c r="B334" s="5" t="n">
        <x:v>2026</x:v>
      </x:c>
      <x:c r="C334" s="1" t="str">
        <x:v>Parks and Recreation</x:v>
      </x:c>
      <x:c r="D334" s="1" t="str">
        <x:v>Personnel</x:v>
      </x:c>
      <x:c r="E334" s="1" t="str">
        <x:v>Expense</x:v>
      </x:c>
      <x:c r="F334" s="4" t="n">
        <x:v>141666.67</x:v>
      </x:c>
      <x:c r="G334" s="4" t="n">
        <x:v>147301.43</x:v>
      </x:c>
    </x:row>
    <x:row r="335" ht="21" customHeight="1">
      <x:c r="A335" s="2" t="d">
        <x:v>2026-04-01T00:00:00.000Z</x:v>
      </x:c>
      <x:c r="B335" s="5" t="n">
        <x:v>2026</x:v>
      </x:c>
      <x:c r="C335" s="1" t="str">
        <x:v>Parks and Recreation</x:v>
      </x:c>
      <x:c r="D335" s="1" t="str">
        <x:v>Personnel</x:v>
      </x:c>
      <x:c r="E335" s="1" t="str">
        <x:v>Expense</x:v>
      </x:c>
      <x:c r="F335" s="4" t="n">
        <x:v>141666.67</x:v>
      </x:c>
      <x:c r="G335" s="4" t="n">
        <x:v>144338.33</x:v>
      </x:c>
    </x:row>
    <x:row r="336" ht="21" customHeight="1">
      <x:c r="A336" s="2" t="d">
        <x:v>2026-05-01T00:00:00.000Z</x:v>
      </x:c>
      <x:c r="B336" s="5" t="n">
        <x:v>2026</x:v>
      </x:c>
      <x:c r="C336" s="1" t="str">
        <x:v>Parks and Recreation</x:v>
      </x:c>
      <x:c r="D336" s="1" t="str">
        <x:v>Personnel</x:v>
      </x:c>
      <x:c r="E336" s="1" t="str">
        <x:v>Expense</x:v>
      </x:c>
      <x:c r="F336" s="4" t="n">
        <x:v>141666.67</x:v>
      </x:c>
      <x:c r="G336" s="4" t="n">
        <x:v>144324.88</x:v>
      </x:c>
    </x:row>
    <x:row r="337" ht="21" customHeight="1">
      <x:c r="A337" s="2" t="d">
        <x:v>2026-06-01T00:00:00.000Z</x:v>
      </x:c>
      <x:c r="B337" s="5" t="n">
        <x:v>2026</x:v>
      </x:c>
      <x:c r="C337" s="1" t="str">
        <x:v>Parks and Recreation</x:v>
      </x:c>
      <x:c r="D337" s="1" t="str">
        <x:v>Personnel</x:v>
      </x:c>
      <x:c r="E337" s="1" t="str">
        <x:v>Expense</x:v>
      </x:c>
      <x:c r="F337" s="4" t="n">
        <x:v>141666.63</x:v>
      </x:c>
      <x:c r="G337" s="4" t="n">
        <x:v>149663.12</x:v>
      </x:c>
    </x:row>
    <x:row r="338" ht="21" customHeight="1">
      <x:c r="A338" s="2" t="d">
        <x:v>2025-07-01T00:00:00.000Z</x:v>
      </x:c>
      <x:c r="B338" s="5" t="n">
        <x:v>2026</x:v>
      </x:c>
      <x:c r="C338" s="1" t="str">
        <x:v>Parks and Recreation</x:v>
      </x:c>
      <x:c r="D338" s="1" t="str">
        <x:v>Contract services</x:v>
      </x:c>
      <x:c r="E338" s="1" t="str">
        <x:v>Expense</x:v>
      </x:c>
      <x:c r="F338" s="4" t="n">
        <x:v>45833.33</x:v>
      </x:c>
      <x:c r="G338" s="4" t="n">
        <x:v>48695.85</x:v>
      </x:c>
    </x:row>
    <x:row r="339" ht="21" customHeight="1">
      <x:c r="A339" s="2" t="d">
        <x:v>2025-08-01T00:00:00.000Z</x:v>
      </x:c>
      <x:c r="B339" s="5" t="n">
        <x:v>2026</x:v>
      </x:c>
      <x:c r="C339" s="1" t="str">
        <x:v>Parks and Recreation</x:v>
      </x:c>
      <x:c r="D339" s="1" t="str">
        <x:v>Contract services</x:v>
      </x:c>
      <x:c r="E339" s="1" t="str">
        <x:v>Expense</x:v>
      </x:c>
      <x:c r="F339" s="4" t="n">
        <x:v>45833.33</x:v>
      </x:c>
      <x:c r="G339" s="4" t="n">
        <x:v>48783.95</x:v>
      </x:c>
    </x:row>
    <x:row r="340" ht="21" customHeight="1">
      <x:c r="A340" s="2" t="d">
        <x:v>2025-09-01T00:00:00.000Z</x:v>
      </x:c>
      <x:c r="B340" s="5" t="n">
        <x:v>2026</x:v>
      </x:c>
      <x:c r="C340" s="1" t="str">
        <x:v>Parks and Recreation</x:v>
      </x:c>
      <x:c r="D340" s="1" t="str">
        <x:v>Contract services</x:v>
      </x:c>
      <x:c r="E340" s="1" t="str">
        <x:v>Expense</x:v>
      </x:c>
      <x:c r="F340" s="4" t="n">
        <x:v>45833.33</x:v>
      </x:c>
      <x:c r="G340" s="4" t="n">
        <x:v>48048.66</x:v>
      </x:c>
    </x:row>
    <x:row r="341" ht="21" customHeight="1">
      <x:c r="A341" s="2" t="d">
        <x:v>2025-10-01T00:00:00.000Z</x:v>
      </x:c>
      <x:c r="B341" s="5" t="n">
        <x:v>2026</x:v>
      </x:c>
      <x:c r="C341" s="1" t="str">
        <x:v>Parks and Recreation</x:v>
      </x:c>
      <x:c r="D341" s="1" t="str">
        <x:v>Contract services</x:v>
      </x:c>
      <x:c r="E341" s="1" t="str">
        <x:v>Expense</x:v>
      </x:c>
      <x:c r="F341" s="4" t="n">
        <x:v>45833.33</x:v>
      </x:c>
      <x:c r="G341" s="4" t="n">
        <x:v>48055.92</x:v>
      </x:c>
    </x:row>
    <x:row r="342" ht="21" customHeight="1">
      <x:c r="A342" s="2" t="d">
        <x:v>2025-11-01T00:00:00.000Z</x:v>
      </x:c>
      <x:c r="B342" s="5" t="n">
        <x:v>2026</x:v>
      </x:c>
      <x:c r="C342" s="1" t="str">
        <x:v>Parks and Recreation</x:v>
      </x:c>
      <x:c r="D342" s="1" t="str">
        <x:v>Contract services</x:v>
      </x:c>
      <x:c r="E342" s="1" t="str">
        <x:v>Expense</x:v>
      </x:c>
      <x:c r="F342" s="4" t="n">
        <x:v>45833.33</x:v>
      </x:c>
      <x:c r="G342" s="4" t="n">
        <x:v>46058.34</x:v>
      </x:c>
    </x:row>
    <x:row r="343" ht="21" customHeight="1">
      <x:c r="A343" s="2" t="d">
        <x:v>2025-12-01T00:00:00.000Z</x:v>
      </x:c>
      <x:c r="B343" s="5" t="n">
        <x:v>2026</x:v>
      </x:c>
      <x:c r="C343" s="1" t="str">
        <x:v>Parks and Recreation</x:v>
      </x:c>
      <x:c r="D343" s="1" t="str">
        <x:v>Contract services</x:v>
      </x:c>
      <x:c r="E343" s="1" t="str">
        <x:v>Expense</x:v>
      </x:c>
      <x:c r="F343" s="4" t="n">
        <x:v>45833.33</x:v>
      </x:c>
      <x:c r="G343" s="4" t="n">
        <x:v>46803.35</x:v>
      </x:c>
    </x:row>
    <x:row r="344" ht="21" customHeight="1">
      <x:c r="A344" s="2" t="d">
        <x:v>2026-01-01T00:00:00.000Z</x:v>
      </x:c>
      <x:c r="B344" s="5" t="n">
        <x:v>2026</x:v>
      </x:c>
      <x:c r="C344" s="1" t="str">
        <x:v>Parks and Recreation</x:v>
      </x:c>
      <x:c r="D344" s="1" t="str">
        <x:v>Contract services</x:v>
      </x:c>
      <x:c r="E344" s="1" t="str">
        <x:v>Expense</x:v>
      </x:c>
      <x:c r="F344" s="4" t="n">
        <x:v>45833.33</x:v>
      </x:c>
      <x:c r="G344" s="4" t="n">
        <x:v>48131.57</x:v>
      </x:c>
    </x:row>
    <x:row r="345" ht="21" customHeight="1">
      <x:c r="A345" s="2" t="d">
        <x:v>2026-02-01T00:00:00.000Z</x:v>
      </x:c>
      <x:c r="B345" s="5" t="n">
        <x:v>2026</x:v>
      </x:c>
      <x:c r="C345" s="1" t="str">
        <x:v>Parks and Recreation</x:v>
      </x:c>
      <x:c r="D345" s="1" t="str">
        <x:v>Contract services</x:v>
      </x:c>
      <x:c r="E345" s="1" t="str">
        <x:v>Expense</x:v>
      </x:c>
      <x:c r="F345" s="4" t="n">
        <x:v>45833.33</x:v>
      </x:c>
      <x:c r="G345" s="4" t="n">
        <x:v>47319.63</x:v>
      </x:c>
    </x:row>
    <x:row r="346" ht="21" customHeight="1">
      <x:c r="A346" s="2" t="d">
        <x:v>2026-03-01T00:00:00.000Z</x:v>
      </x:c>
      <x:c r="B346" s="5" t="n">
        <x:v>2026</x:v>
      </x:c>
      <x:c r="C346" s="1" t="str">
        <x:v>Parks and Recreation</x:v>
      </x:c>
      <x:c r="D346" s="1" t="str">
        <x:v>Contract services</x:v>
      </x:c>
      <x:c r="E346" s="1" t="str">
        <x:v>Expense</x:v>
      </x:c>
      <x:c r="F346" s="4" t="n">
        <x:v>45833.33</x:v>
      </x:c>
      <x:c r="G346" s="4" t="n">
        <x:v>47640.19</x:v>
      </x:c>
    </x:row>
    <x:row r="347" ht="21" customHeight="1">
      <x:c r="A347" s="2" t="d">
        <x:v>2026-04-01T00:00:00.000Z</x:v>
      </x:c>
      <x:c r="B347" s="5" t="n">
        <x:v>2026</x:v>
      </x:c>
      <x:c r="C347" s="1" t="str">
        <x:v>Parks and Recreation</x:v>
      </x:c>
      <x:c r="D347" s="1" t="str">
        <x:v>Contract services</x:v>
      </x:c>
      <x:c r="E347" s="1" t="str">
        <x:v>Expense</x:v>
      </x:c>
      <x:c r="F347" s="4" t="n">
        <x:v>45833.33</x:v>
      </x:c>
      <x:c r="G347" s="4" t="n">
        <x:v>48135.26</x:v>
      </x:c>
    </x:row>
    <x:row r="348" ht="21" customHeight="1">
      <x:c r="A348" s="2" t="d">
        <x:v>2026-05-01T00:00:00.000Z</x:v>
      </x:c>
      <x:c r="B348" s="5" t="n">
        <x:v>2026</x:v>
      </x:c>
      <x:c r="C348" s="1" t="str">
        <x:v>Parks and Recreation</x:v>
      </x:c>
      <x:c r="D348" s="1" t="str">
        <x:v>Contract services</x:v>
      </x:c>
      <x:c r="E348" s="1" t="str">
        <x:v>Expense</x:v>
      </x:c>
      <x:c r="F348" s="4" t="n">
        <x:v>45833.33</x:v>
      </x:c>
      <x:c r="G348" s="4" t="n">
        <x:v>46143.33</x:v>
      </x:c>
    </x:row>
    <x:row r="349" ht="21" customHeight="1">
      <x:c r="A349" s="2" t="d">
        <x:v>2026-06-01T00:00:00.000Z</x:v>
      </x:c>
      <x:c r="B349" s="5" t="n">
        <x:v>2026</x:v>
      </x:c>
      <x:c r="C349" s="1" t="str">
        <x:v>Parks and Recreation</x:v>
      </x:c>
      <x:c r="D349" s="1" t="str">
        <x:v>Contract services</x:v>
      </x:c>
      <x:c r="E349" s="1" t="str">
        <x:v>Expense</x:v>
      </x:c>
      <x:c r="F349" s="4" t="n">
        <x:v>45833.37</x:v>
      </x:c>
      <x:c r="G349" s="4" t="n">
        <x:v>48183.95</x:v>
      </x:c>
    </x:row>
    <x:row r="350" ht="21" customHeight="1">
      <x:c r="A350" s="2" t="d">
        <x:v>2025-07-01T00:00:00.000Z</x:v>
      </x:c>
      <x:c r="B350" s="5" t="n">
        <x:v>2026</x:v>
      </x:c>
      <x:c r="C350" s="1" t="str">
        <x:v>Parks and Recreation</x:v>
      </x:c>
      <x:c r="D350" s="1" t="str">
        <x:v>Materials</x:v>
      </x:c>
      <x:c r="E350" s="1" t="str">
        <x:v>Expense</x:v>
      </x:c>
      <x:c r="F350" s="4" t="n">
        <x:v>37916.67</x:v>
      </x:c>
      <x:c r="G350" s="4" t="n">
        <x:v>43875.95</x:v>
      </x:c>
    </x:row>
    <x:row r="351" ht="21" customHeight="1">
      <x:c r="A351" s="2" t="d">
        <x:v>2025-08-01T00:00:00.000Z</x:v>
      </x:c>
      <x:c r="B351" s="5" t="n">
        <x:v>2026</x:v>
      </x:c>
      <x:c r="C351" s="1" t="str">
        <x:v>Parks and Recreation</x:v>
      </x:c>
      <x:c r="D351" s="1" t="str">
        <x:v>Materials</x:v>
      </x:c>
      <x:c r="E351" s="1" t="str">
        <x:v>Expense</x:v>
      </x:c>
      <x:c r="F351" s="4" t="n">
        <x:v>37916.67</x:v>
      </x:c>
      <x:c r="G351" s="4" t="n">
        <x:v>44458.92</x:v>
      </x:c>
    </x:row>
    <x:row r="352" ht="21" customHeight="1">
      <x:c r="A352" s="2" t="d">
        <x:v>2025-09-01T00:00:00.000Z</x:v>
      </x:c>
      <x:c r="B352" s="5" t="n">
        <x:v>2026</x:v>
      </x:c>
      <x:c r="C352" s="1" t="str">
        <x:v>Parks and Recreation</x:v>
      </x:c>
      <x:c r="D352" s="1" t="str">
        <x:v>Materials</x:v>
      </x:c>
      <x:c r="E352" s="1" t="str">
        <x:v>Expense</x:v>
      </x:c>
      <x:c r="F352" s="4" t="n">
        <x:v>32083.33</x:v>
      </x:c>
      <x:c r="G352" s="4" t="n">
        <x:v>36785.71</x:v>
      </x:c>
    </x:row>
    <x:row r="353" ht="21" customHeight="1">
      <x:c r="A353" s="2" t="d">
        <x:v>2025-10-01T00:00:00.000Z</x:v>
      </x:c>
      <x:c r="B353" s="5" t="n">
        <x:v>2026</x:v>
      </x:c>
      <x:c r="C353" s="1" t="str">
        <x:v>Parks and Recreation</x:v>
      </x:c>
      <x:c r="D353" s="1" t="str">
        <x:v>Materials</x:v>
      </x:c>
      <x:c r="E353" s="1" t="str">
        <x:v>Expense</x:v>
      </x:c>
      <x:c r="F353" s="4" t="n">
        <x:v>26250</x:v>
      </x:c>
      <x:c r="G353" s="4" t="n">
        <x:v>29592.59</x:v>
      </x:c>
    </x:row>
    <x:row r="354" ht="21" customHeight="1">
      <x:c r="A354" s="2" t="d">
        <x:v>2025-11-01T00:00:00.000Z</x:v>
      </x:c>
      <x:c r="B354" s="5" t="n">
        <x:v>2026</x:v>
      </x:c>
      <x:c r="C354" s="1" t="str">
        <x:v>Parks and Recreation</x:v>
      </x:c>
      <x:c r="D354" s="1" t="str">
        <x:v>Materials</x:v>
      </x:c>
      <x:c r="E354" s="1" t="str">
        <x:v>Expense</x:v>
      </x:c>
      <x:c r="F354" s="4" t="n">
        <x:v>24791.67</x:v>
      </x:c>
      <x:c r="G354" s="4" t="n">
        <x:v>29756.63</x:v>
      </x:c>
    </x:row>
    <x:row r="355" ht="21" customHeight="1">
      <x:c r="A355" s="2" t="d">
        <x:v>2025-12-01T00:00:00.000Z</x:v>
      </x:c>
      <x:c r="B355" s="5" t="n">
        <x:v>2026</x:v>
      </x:c>
      <x:c r="C355" s="1" t="str">
        <x:v>Parks and Recreation</x:v>
      </x:c>
      <x:c r="D355" s="1" t="str">
        <x:v>Materials</x:v>
      </x:c>
      <x:c r="E355" s="1" t="str">
        <x:v>Expense</x:v>
      </x:c>
      <x:c r="F355" s="4" t="n">
        <x:v>23333.33</x:v>
      </x:c>
      <x:c r="G355" s="4" t="n">
        <x:v>26211.42</x:v>
      </x:c>
    </x:row>
    <x:row r="356" ht="21" customHeight="1">
      <x:c r="A356" s="2" t="d">
        <x:v>2026-01-01T00:00:00.000Z</x:v>
      </x:c>
      <x:c r="B356" s="5" t="n">
        <x:v>2026</x:v>
      </x:c>
      <x:c r="C356" s="1" t="str">
        <x:v>Parks and Recreation</x:v>
      </x:c>
      <x:c r="D356" s="1" t="str">
        <x:v>Materials</x:v>
      </x:c>
      <x:c r="E356" s="1" t="str">
        <x:v>Expense</x:v>
      </x:c>
      <x:c r="F356" s="4" t="n">
        <x:v>23333.33</x:v>
      </x:c>
      <x:c r="G356" s="4" t="n">
        <x:v>26982.15</x:v>
      </x:c>
    </x:row>
    <x:row r="357" ht="21" customHeight="1">
      <x:c r="A357" s="2" t="d">
        <x:v>2026-02-01T00:00:00.000Z</x:v>
      </x:c>
      <x:c r="B357" s="5" t="n">
        <x:v>2026</x:v>
      </x:c>
      <x:c r="C357" s="1" t="str">
        <x:v>Parks and Recreation</x:v>
      </x:c>
      <x:c r="D357" s="1" t="str">
        <x:v>Materials</x:v>
      </x:c>
      <x:c r="E357" s="1" t="str">
        <x:v>Expense</x:v>
      </x:c>
      <x:c r="F357" s="4" t="n">
        <x:v>24791.67</x:v>
      </x:c>
      <x:c r="G357" s="4" t="n">
        <x:v>27758.02</x:v>
      </x:c>
    </x:row>
    <x:row r="358" ht="21" customHeight="1">
      <x:c r="A358" s="2" t="d">
        <x:v>2026-03-01T00:00:00.000Z</x:v>
      </x:c>
      <x:c r="B358" s="5" t="n">
        <x:v>2026</x:v>
      </x:c>
      <x:c r="C358" s="1" t="str">
        <x:v>Parks and Recreation</x:v>
      </x:c>
      <x:c r="D358" s="1" t="str">
        <x:v>Materials</x:v>
      </x:c>
      <x:c r="E358" s="1" t="str">
        <x:v>Expense</x:v>
      </x:c>
      <x:c r="F358" s="4" t="n">
        <x:v>27708.33</x:v>
      </x:c>
      <x:c r="G358" s="4" t="n">
        <x:v>33368.03</x:v>
      </x:c>
    </x:row>
    <x:row r="359" ht="21" customHeight="1">
      <x:c r="A359" s="2" t="d">
        <x:v>2026-04-01T00:00:00.000Z</x:v>
      </x:c>
      <x:c r="B359" s="5" t="n">
        <x:v>2026</x:v>
      </x:c>
      <x:c r="C359" s="1" t="str">
        <x:v>Parks and Recreation</x:v>
      </x:c>
      <x:c r="D359" s="1" t="str">
        <x:v>Materials</x:v>
      </x:c>
      <x:c r="E359" s="1" t="str">
        <x:v>Expense</x:v>
      </x:c>
      <x:c r="F359" s="4" t="n">
        <x:v>29166.67</x:v>
      </x:c>
      <x:c r="G359" s="4" t="n">
        <x:v>35104.42</x:v>
      </x:c>
    </x:row>
    <x:row r="360" ht="21" customHeight="1">
      <x:c r="A360" s="2" t="d">
        <x:v>2026-05-01T00:00:00.000Z</x:v>
      </x:c>
      <x:c r="B360" s="5" t="n">
        <x:v>2026</x:v>
      </x:c>
      <x:c r="C360" s="1" t="str">
        <x:v>Parks and Recreation</x:v>
      </x:c>
      <x:c r="D360" s="1" t="str">
        <x:v>Materials</x:v>
      </x:c>
      <x:c r="E360" s="1" t="str">
        <x:v>Expense</x:v>
      </x:c>
      <x:c r="F360" s="4" t="n">
        <x:v>30625</x:v>
      </x:c>
      <x:c r="G360" s="4" t="n">
        <x:v>34886.43</x:v>
      </x:c>
    </x:row>
    <x:row r="361" ht="21" customHeight="1">
      <x:c r="A361" s="2" t="d">
        <x:v>2026-06-01T00:00:00.000Z</x:v>
      </x:c>
      <x:c r="B361" s="5" t="n">
        <x:v>2026</x:v>
      </x:c>
      <x:c r="C361" s="1" t="str">
        <x:v>Parks and Recreation</x:v>
      </x:c>
      <x:c r="D361" s="1" t="str">
        <x:v>Materials</x:v>
      </x:c>
      <x:c r="E361" s="1" t="str">
        <x:v>Expense</x:v>
      </x:c>
      <x:c r="F361" s="4" t="n">
        <x:v>32083.33</x:v>
      </x:c>
      <x:c r="G361" s="4" t="n">
        <x:v>37219.73</x:v>
      </x:c>
    </x:row>
  </x:sheetData>
  <x:pageMargins left="0.7" right="0.7" top="0.75" bottom="0.75" header="0.3" footer="0.3"/>
  <x:tableParts count="1">
    <x:tablePart xmlns:r="http://schemas.openxmlformats.org/officeDocument/2006/relationships" r:id="R6dad6dceeae044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21" hidden="0" customWidth="1"/>
    <x:col min="5" max="5" width="21" hidden="0" customWidth="1"/>
    <x:col min="6" max="6" width="21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3" customHeight="1">
      <x:c r="A2" s="1"/>
      <x:c r="B2" s="1"/>
      <x:c r="C2" s="12" t="str">
        <x:v>Source and reporting reconciliation</x:v>
      </x:c>
      <x:c r="D2" s="13"/>
      <x:c r="E2" s="13"/>
      <x:c r="F2" s="13"/>
      <x:c r="G2" s="13"/>
      <x:c r="H2" s="13"/>
      <x:c r="I2" s="13"/>
      <x:c r="J2" s="13"/>
      <x:c r="K2" s="13"/>
      <x:c r="L2" s="1"/>
      <x:c r="M2" s="1"/>
      <x:c r="N2" s="1"/>
      <x:c r="O2" s="1"/>
      <x:c r="P2" s="1"/>
      <x:c r="Q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3" customHeight="1">
      <x:c r="A4" s="1"/>
      <x:c r="B4" s="1"/>
      <x:c r="C4" s="1" t="str">
        <x:v>Case Selected:</x:v>
      </x:c>
      <x:c r="D4" s="24" t="str">
        <x:f>'Assumptions'!$D$4</x:f>
        <x:v>Base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30" customHeight="1">
      <x:c r="A6" s="1"/>
      <x:c r="B6" s="1"/>
      <x:c r="C6" s="10" t="str">
        <x:v>Control</x:v>
      </x:c>
      <x:c r="D6" s="10" t="str">
        <x:v>Source reference</x:v>
      </x:c>
      <x:c r="E6" s="10" t="str">
        <x:v>Workbook value</x:v>
      </x:c>
      <x:c r="F6" s="10" t="str">
        <x:v>Difference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3" customHeight="1">
      <x:c r="A7" s="1"/>
      <x:c r="B7" s="1"/>
      <x:c r="C7" s="1" t="str">
        <x:v>Monthly actuals (USD)</x:v>
      </x:c>
      <x:c r="D7" s="3" t="n">
        <x:v>29268146</x:v>
      </x:c>
      <x:c r="E7" s="3" t="n">
        <x:f>SUM('Monthly data'!$G$2:$G$361)</x:f>
        <x:v>29268146.000000015</x:v>
      </x:c>
      <x:c r="F7" s="37" t="n">
        <x:f>ROUND(E7-D7,2)</x:f>
        <x:v>0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3" customHeight="1">
      <x:c r="A8" s="1"/>
      <x:c r="B8" s="1"/>
      <x:c r="C8" s="1" t="str">
        <x:v>Monthly budgets (USD)</x:v>
      </x:c>
      <x:c r="D8" s="3" t="n">
        <x:v>28949200</x:v>
      </x:c>
      <x:c r="E8" s="3" t="n">
        <x:f>SUM('Monthly data'!$F$2:$F$361)</x:f>
        <x:v>28949199.999999966</x:v>
      </x:c>
      <x:c r="F8" s="37" t="n">
        <x:f>ROUND(E8-D8,2)</x:f>
        <x:v>0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3" customHeight="1">
      <x:c r="A9" s="1"/>
      <x:c r="B9" s="1"/>
      <x:c r="C9" s="1" t="str">
        <x:v>FY:26 funding (USD)</x:v>
      </x:c>
      <x:c r="D9" s="3" t="n">
        <x:v>7473000</x:v>
      </x:c>
      <x:c r="E9" s="3" t="n">
        <x:f>'Summary'!E9</x:f>
        <x:v>7473000.000000001</x:v>
      </x:c>
      <x:c r="F9" s="37" t="n">
        <x:f>ROUND(E9-D9,2)</x:f>
        <x:v>0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3" customHeight="1">
      <x:c r="A10" s="1"/>
      <x:c r="B10" s="1"/>
      <x:c r="C10" s="1" t="str">
        <x:v>FY:26 expense (USD)</x:v>
      </x:c>
      <x:c r="D10" s="3" t="n">
        <x:v>7545050</x:v>
      </x:c>
      <x:c r="E10" s="3" t="n">
        <x:f>'Summary'!E10</x:f>
        <x:v>7545049.999999999</x:v>
      </x:c>
      <x:c r="F10" s="37" t="n">
        <x:f>ROUND(E10-D10,2)</x:f>
        <x:v>0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3" customHeight="1">
      <x:c r="A11" s="1"/>
      <x:c r="B11" s="1"/>
      <x:c r="C11" s="1" t="str">
        <x:v>Expected monthly records</x:v>
      </x:c>
      <x:c r="D11" s="36" t="n">
        <x:v>360</x:v>
      </x:c>
      <x:c r="E11" s="36" t="n">
        <x:f>COUNTA('Monthly data'!$A$2:$A$361)</x:f>
        <x:v>360</x:v>
      </x:c>
      <x:c r="F11" s="37" t="n">
        <x:f>ROUND(E11-D11,2)</x:f>
        <x:v>0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3" customHeight="1">
      <x:c r="A12" s="1"/>
      <x:c r="B12" s="1"/>
      <x:c r="C12" s="1" t="str">
        <x:v>FY:25 monthly records</x:v>
      </x:c>
      <x:c r="D12" s="36" t="n">
        <x:v>180</x:v>
      </x:c>
      <x:c r="E12" s="36" t="n">
        <x:f>COUNTIFS('Monthly data'!$B$2:$B$361,2025)</x:f>
        <x:v>180</x:v>
      </x:c>
      <x:c r="F12" s="37" t="n">
        <x:f>ROUND(E12-D12,2)</x:f>
        <x:v>0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3" customHeight="1">
      <x:c r="A13" s="1"/>
      <x:c r="B13" s="1"/>
      <x:c r="C13" s="1" t="str">
        <x:v>FY:26 monthly records</x:v>
      </x:c>
      <x:c r="D13" s="36" t="n">
        <x:v>180</x:v>
      </x:c>
      <x:c r="E13" s="36" t="n">
        <x:f>COUNTIFS('Monthly data'!$B$2:$B$361,2026)</x:f>
        <x:v>180</x:v>
      </x:c>
      <x:c r="F13" s="37" t="n">
        <x:f>ROUND(E13-D13,2)</x:f>
        <x:v>0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3" customHeight="1">
      <x:c r="A14" s="1"/>
      <x:c r="B14" s="1"/>
      <x:c r="C14" s="1" t="str">
        <x:v>Department expense summary tie</x:v>
      </x:c>
      <x:c r="D14" s="3" t="n">
        <x:f>'Summary'!E10</x:f>
        <x:v>7545049.999999999</x:v>
      </x:c>
      <x:c r="E14" s="3" t="n">
        <x:f>SUM('Summary'!E16:E18)</x:f>
        <x:v>7545050</x:v>
      </x:c>
      <x:c r="F14" s="37" t="n">
        <x:f>ROUND(E14-D14,2)</x:f>
        <x:v>0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3" customHeight="1">
      <x:c r="A17" s="1"/>
      <x:c r="B17" s="1"/>
      <x:c r="C17" s="1" t="str">
        <x:v>Reference: original synthetic CSV controls generated by scripts/rebuild.py.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3" customHeight="1">
      <x:c r="A18" s="1"/>
      <x:c r="B18" s="1"/>
      <x:c r="C18" s="1" t="str">
        <x:v>If source values change, reconcile against the refreshed SQL exports.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3" customHeight="1">
      <x:c r="A19" s="1"/>
      <x:c r="B19" s="1"/>
      <x:c r="C19" s="1" t="str">
        <x:v>No output or forecast calculation reads this review sheet.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3" customHeight="1">
      <x:c r="A21" s="1"/>
      <x:c r="B21" s="1"/>
      <x:c r="C21" s="1" t="str">
        <x:v>Model basis: fiscal year ends June 30; all currency is USD.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3" customHeight="1">
      <x:c r="A22" s="1"/>
      <x:c r="B22" s="1"/>
      <x:c r="C22" s="1" t="str">
        <x:v>This is an operating funding model, not cash flow, reserves or fund accounting.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</x:sheetData>
  <x:conditionalFormatting sqref="F7:F14">
    <x:cfRule type="cellIs" dxfId="3" priority="1" operator="notBetween">
      <x:formula>-0.005</x:formula>
      <x:formula>0.005</x:formula>
    </x:cfRule>
  </x:conditionalFormatting>
  <x:pageMargins left="0.7" right="0.7" top="0.75" bottom="0.75" header="0.3" footer="0.3"/>
</x:worksheet>
</file>